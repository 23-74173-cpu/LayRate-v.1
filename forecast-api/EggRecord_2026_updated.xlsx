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onor\Downloads\"/>
    </mc:Choice>
  </mc:AlternateContent>
  <xr:revisionPtr revIDLastSave="0" documentId="13_ncr:1_{196CD8A2-ED51-4D3D-BDCB-030A12E82A2C}" xr6:coauthVersionLast="47" xr6:coauthVersionMax="47" xr10:uidLastSave="{00000000-0000-0000-0000-000000000000}"/>
  <bookViews>
    <workbookView xWindow="11424" yWindow="0" windowWidth="11712" windowHeight="12336" tabRatio="718" firstSheet="1" activeTab="1" xr2:uid="{00000000-000D-0000-FFFF-FFFF00000000}"/>
  </bookViews>
  <sheets>
    <sheet name="SUMMARY" sheetId="1" r:id="rId1"/>
    <sheet name="Apr 24 – May 24" sheetId="2" r:id="rId2"/>
    <sheet name="May 25–Jun25" sheetId="3" r:id="rId3"/>
    <sheet name="Mar 23 - April 23" sheetId="4" r:id="rId4"/>
    <sheet name="Jun 26 – Jul26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7" i="2"/>
  <c r="K36" i="4"/>
  <c r="K26" i="4"/>
  <c r="K24" i="4"/>
  <c r="K19" i="4"/>
</calcChain>
</file>

<file path=xl/sharedStrings.xml><?xml version="1.0" encoding="utf-8"?>
<sst xmlns="http://schemas.openxmlformats.org/spreadsheetml/2006/main" count="422" uniqueCount="171">
  <si>
    <t>EGG PRODUCTION — ALL PERIODS SUMMARY</t>
  </si>
  <si>
    <t>Sitio Tampisaw, Reparo, Nasugbu, Batangas, Philippines</t>
  </si>
  <si>
    <t>Period</t>
  </si>
  <si>
    <t>Days Recorded</t>
  </si>
  <si>
    <t>Total Eggs</t>
  </si>
  <si>
    <t>Total Mortality</t>
  </si>
  <si>
    <t>May 12–24</t>
  </si>
  <si>
    <t>May 25–Jun25</t>
  </si>
  <si>
    <t>Jun 26–Jul26</t>
  </si>
  <si>
    <t>TOTALS</t>
  </si>
  <si>
    <t>DAILY EGG PRODUCTION RECORD</t>
  </si>
  <si>
    <t>Recording Period:</t>
  </si>
  <si>
    <t>April 24, 2026 – May 24, 2026</t>
  </si>
  <si>
    <t>DATE</t>
  </si>
  <si>
    <t>CAGE 1</t>
  </si>
  <si>
    <t>CAGE 2</t>
  </si>
  <si>
    <t>CAGE 3</t>
  </si>
  <si>
    <t>TOTAL
EGGS</t>
  </si>
  <si>
    <t>MORT.</t>
  </si>
  <si>
    <t>STATUS</t>
  </si>
  <si>
    <t>TEMP (°C)</t>
  </si>
  <si>
    <t>HUMIDITY (%)</t>
  </si>
  <si>
    <t>NOTES</t>
  </si>
  <si>
    <t>R1</t>
  </si>
  <si>
    <t>R2</t>
  </si>
  <si>
    <t>R3</t>
  </si>
  <si>
    <t>Min</t>
  </si>
  <si>
    <t>Max</t>
  </si>
  <si>
    <t>Apr 24 (Thu)</t>
  </si>
  <si>
    <t>N</t>
  </si>
  <si>
    <t>Apr 25 (Fri)</t>
  </si>
  <si>
    <t>Apr 26 (Sat)</t>
  </si>
  <si>
    <t>Apr 27 (Sun)</t>
  </si>
  <si>
    <t>Apr 28 (Mon)</t>
  </si>
  <si>
    <t>Apr 29 (Tue)</t>
  </si>
  <si>
    <t>Apr 30 (Wed)</t>
  </si>
  <si>
    <t>May 01 (Thu)</t>
  </si>
  <si>
    <t>May 02 (Fri)</t>
  </si>
  <si>
    <t>May 03 (Sat)</t>
  </si>
  <si>
    <t>May 04 (Sun)</t>
  </si>
  <si>
    <t>May 05 (Mon)</t>
  </si>
  <si>
    <t>May 06 (Tue)</t>
  </si>
  <si>
    <t>May 07 (Wed)</t>
  </si>
  <si>
    <t>May 08 (Thu)</t>
  </si>
  <si>
    <t>May 09 (Fri)</t>
  </si>
  <si>
    <t>May 10 (Sat)</t>
  </si>
  <si>
    <t>May 11 (Sun)</t>
  </si>
  <si>
    <t>May 12 (Tue)</t>
  </si>
  <si>
    <t>S</t>
  </si>
  <si>
    <t>1 bird(s) found dead</t>
  </si>
  <si>
    <t>May 13 (Wed)</t>
  </si>
  <si>
    <t>May 14 (Thu)</t>
  </si>
  <si>
    <t>May 15 (Fri)</t>
  </si>
  <si>
    <t>May 16 (Sat)</t>
  </si>
  <si>
    <t>May 17 (Sun)</t>
  </si>
  <si>
    <t>May 18 (Mon)</t>
  </si>
  <si>
    <t>May 19 (Tue)</t>
  </si>
  <si>
    <t>May 20 (Wed)</t>
  </si>
  <si>
    <t>May 21 (Thu)</t>
  </si>
  <si>
    <t>May 22 (Fri)</t>
  </si>
  <si>
    <t>May 23 (Sat)</t>
  </si>
  <si>
    <t>May 24 (Sun)</t>
  </si>
  <si>
    <t>GRAND TOTAL</t>
  </si>
  <si>
    <t>—</t>
  </si>
  <si>
    <t>PERIOD SUMMARY</t>
  </si>
  <si>
    <t>Total Days Recorded:</t>
  </si>
  <si>
    <t>Total Eggs Produced:</t>
  </si>
  <si>
    <t>Total Mortality:</t>
  </si>
  <si>
    <t>Avg Eggs / Day:</t>
  </si>
  <si>
    <t>LEGEND:  N=Normal  |  S=Sick  |  M=Molting  |  V=Vaccinated  |  F=Feed Change  |  O=Other</t>
  </si>
  <si>
    <t>May 25, 2026 – June 25, 2026</t>
  </si>
  <si>
    <t>May 25 (Mon)</t>
  </si>
  <si>
    <t>May 26 (Tue)</t>
  </si>
  <si>
    <t>May 27 (Wed)</t>
  </si>
  <si>
    <t>May 28 (Thu)</t>
  </si>
  <si>
    <t>May 29 (Fri)</t>
  </si>
  <si>
    <t>May 30 (Sat)</t>
  </si>
  <si>
    <t>May 31 (Sun)</t>
  </si>
  <si>
    <t>Jun 01 (Mon)</t>
  </si>
  <si>
    <t>Jun 02 (Tue)</t>
  </si>
  <si>
    <t>Jun 03 (Wed)</t>
  </si>
  <si>
    <t>Jun 04 (Thu)</t>
  </si>
  <si>
    <t>Jun 05 (Fri)</t>
  </si>
  <si>
    <t>Jun 06 (Sat)</t>
  </si>
  <si>
    <t>Jun 07 (Sun)</t>
  </si>
  <si>
    <t>Jun 08 (Mon)</t>
  </si>
  <si>
    <t>Jun 09 (Tue)</t>
  </si>
  <si>
    <t>Jun 10 (Wed)</t>
  </si>
  <si>
    <t>Jun 11 (Thu)</t>
  </si>
  <si>
    <t>2 bird(s) found dead</t>
  </si>
  <si>
    <t>Jun 12 (Fri)</t>
  </si>
  <si>
    <t>Jun 13 (Sat)</t>
  </si>
  <si>
    <t>Jun 14 (Sun)</t>
  </si>
  <si>
    <t>Jun 15 (Mon)</t>
  </si>
  <si>
    <t>Jun 16 (Tue)</t>
  </si>
  <si>
    <t>Jun 17 (Wed)</t>
  </si>
  <si>
    <t>Jun 18 (Thu)</t>
  </si>
  <si>
    <t>Jun 19 (Fri)</t>
  </si>
  <si>
    <t>Jun 20 (Sat)</t>
  </si>
  <si>
    <t>Jun 21 (Sun)</t>
  </si>
  <si>
    <t>Jun 22 (Mon)</t>
  </si>
  <si>
    <t>Jun 23 (Tue)</t>
  </si>
  <si>
    <t>Jun 24 (Wed)</t>
  </si>
  <si>
    <t>Jun 25 (Thu)</t>
  </si>
  <si>
    <t>Albert's EggVenture — House/Flock ID: 1 | Prepared by: John Eduard A. De Villa, Hanns Christian L. Donor, and Felman I. Eleponga</t>
  </si>
  <si>
    <t>March 23, 2026 – April 23, 2026</t>
  </si>
  <si>
    <t>Mar 23 (Mon)</t>
  </si>
  <si>
    <t>Mar 24 (Tue)</t>
  </si>
  <si>
    <t>Mar 25 (Wed)</t>
  </si>
  <si>
    <t>Mar 26 (Thu)</t>
  </si>
  <si>
    <t>Mar 27 (Fri)</t>
  </si>
  <si>
    <t>Mar 28 (Sat)</t>
  </si>
  <si>
    <t>Mar 29 (Sun)</t>
  </si>
  <si>
    <t>Mar 30 (Mon)</t>
  </si>
  <si>
    <t>Mar 31 (Tue)</t>
  </si>
  <si>
    <t>Apr 01 (Wed)</t>
  </si>
  <si>
    <t>Apr 02 (Thu)</t>
  </si>
  <si>
    <t>Apr 03 (Fri)</t>
  </si>
  <si>
    <t>Apr 04 (Sat)</t>
  </si>
  <si>
    <t>Apr 05 (Sun)</t>
  </si>
  <si>
    <t>Apr 06 (Mon)</t>
  </si>
  <si>
    <t>Apr 07 (Tue)</t>
  </si>
  <si>
    <t>Apr 08 (Wed)</t>
  </si>
  <si>
    <t>Apr 09 (Thu)</t>
  </si>
  <si>
    <t>Apr 10 (Fri)</t>
  </si>
  <si>
    <t>Apr 11 (Sat)</t>
  </si>
  <si>
    <t>Apr 12 (Sun)</t>
  </si>
  <si>
    <t>Apr 13 (Mon)</t>
  </si>
  <si>
    <t>Apr 14 (Tue)</t>
  </si>
  <si>
    <t>Apr 15 (Wed)</t>
  </si>
  <si>
    <t>Apr 16 (Thu)</t>
  </si>
  <si>
    <t>Apr 17 (Fri)</t>
  </si>
  <si>
    <t>Apr 18 (Sat)</t>
  </si>
  <si>
    <t>Apr 19 (Sun)</t>
  </si>
  <si>
    <t>Apr 20 (Mon)</t>
  </si>
  <si>
    <t>Apr 21 (Tue)</t>
  </si>
  <si>
    <t>Apr 22 (Wed)</t>
  </si>
  <si>
    <t>Apr 23 (Thu)</t>
  </si>
  <si>
    <t>June 26, 2026 – July 26, 2026</t>
  </si>
  <si>
    <t>Jun 26 (Fri)</t>
  </si>
  <si>
    <t>Jun 27 (Sat)</t>
  </si>
  <si>
    <t>Jun 28 (Sun)</t>
  </si>
  <si>
    <t>Jun 29 (Mon)</t>
  </si>
  <si>
    <t>Jun 30 (Tue)</t>
  </si>
  <si>
    <t>Jul 01 (Wed)</t>
  </si>
  <si>
    <t>Jul 02 (Thu)</t>
  </si>
  <si>
    <t>Jul 03 (Fri)</t>
  </si>
  <si>
    <t>Jul 04 (Sat)</t>
  </si>
  <si>
    <t>Jul 05 (Sun)</t>
  </si>
  <si>
    <t>Jul 06 (Mon)</t>
  </si>
  <si>
    <t>Jul 07 (Tue)</t>
  </si>
  <si>
    <t>Jul 08 (Wed)</t>
  </si>
  <si>
    <t>Jul 09 (Thu)</t>
  </si>
  <si>
    <t>Jul 10 (Fri)</t>
  </si>
  <si>
    <t>Jul 11 (Sat)</t>
  </si>
  <si>
    <t>Jul 12 (Sun)</t>
  </si>
  <si>
    <t>Jul 13 (Mon)</t>
  </si>
  <si>
    <t>Jul 14 (Tue)</t>
  </si>
  <si>
    <t>Jul 15 (Wed)</t>
  </si>
  <si>
    <t>Jul 16 (Thu)</t>
  </si>
  <si>
    <t>Jul 17 (Fri)</t>
  </si>
  <si>
    <t>Jul 18 (Sat)</t>
  </si>
  <si>
    <t>Jul 19 (Sun)</t>
  </si>
  <si>
    <t>Jul 20 (Mon)</t>
  </si>
  <si>
    <t>Jul 21 (Tue)</t>
  </si>
  <si>
    <t>Jul 22 (Wed)</t>
  </si>
  <si>
    <t>Jul 23 (Thu)</t>
  </si>
  <si>
    <t>Jul 24 (Fri)</t>
  </si>
  <si>
    <t>Jul 25 (Sat)</t>
  </si>
  <si>
    <t>Jul 26 (Sun)</t>
  </si>
  <si>
    <t>`75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</si>
</sst>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9"/>
      <color rgb="FFBDD7EE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sz val="10"/>
      <color theme="1"/>
      <name val="Calibri"/>
      <family val="2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sz val="10"/>
      <color theme="1" tint="4.9989318521683403E-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theme="4" tint="0.79998168889431442"/>
        <bgColor rgb="FFEBF3FB"/>
      </patternFill>
    </fill>
  </fills>
  <borders count="10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/>
      <diagonal/>
    </border>
    <border>
      <left style="medium">
        <color rgb="FF444444"/>
      </left>
      <right/>
      <top style="medium">
        <color rgb="FF444444"/>
      </top>
      <bottom style="medium">
        <color rgb="FF44444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0" fillId="9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" fontId="5" fillId="5" borderId="2" xfId="0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1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" fontId="5" fillId="8" borderId="0" xfId="0" applyNumberFormat="1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1" fontId="4" fillId="7" borderId="0" xfId="0" applyNumberFormat="1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5" fillId="4" borderId="5" xfId="0" applyFont="1" applyFill="1" applyBorder="1" applyAlignment="1">
      <alignment vertical="center"/>
    </xf>
    <xf numFmtId="1" fontId="5" fillId="5" borderId="6" xfId="0" applyNumberFormat="1" applyFont="1" applyFill="1" applyBorder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="97" zoomScaleNormal="97" workbookViewId="0">
      <selection sqref="A1:D1"/>
    </sheetView>
  </sheetViews>
  <sheetFormatPr defaultColWidth="8.6640625" defaultRowHeight="14.4" x14ac:dyDescent="0.3"/>
  <cols>
    <col min="1" max="1" width="20" customWidth="1"/>
    <col min="2" max="2" width="14" customWidth="1"/>
    <col min="3" max="3" width="16" customWidth="1"/>
    <col min="4" max="4" width="14" customWidth="1"/>
  </cols>
  <sheetData>
    <row r="1" spans="1:4" ht="21.75" customHeight="1" x14ac:dyDescent="0.3">
      <c r="A1" s="3" t="s">
        <v>0</v>
      </c>
      <c r="B1" s="3"/>
      <c r="C1" s="3"/>
      <c r="D1" s="3"/>
    </row>
    <row r="2" spans="1:4" ht="15" customHeight="1" x14ac:dyDescent="0.3">
      <c r="A2" s="8" t="s">
        <v>1</v>
      </c>
      <c r="B2" s="8"/>
      <c r="C2" s="8"/>
      <c r="D2" s="8"/>
    </row>
    <row r="4" spans="1:4" ht="15" customHeight="1" x14ac:dyDescent="0.3">
      <c r="A4" s="10" t="s">
        <v>2</v>
      </c>
      <c r="B4" s="10" t="s">
        <v>3</v>
      </c>
      <c r="C4" s="10" t="s">
        <v>4</v>
      </c>
      <c r="D4" s="10" t="s">
        <v>5</v>
      </c>
    </row>
    <row r="5" spans="1:4" ht="15" customHeight="1" x14ac:dyDescent="0.3">
      <c r="A5" s="11" t="s">
        <v>6</v>
      </c>
      <c r="B5" s="12">
        <v>13</v>
      </c>
      <c r="C5" s="13">
        <v>6240</v>
      </c>
      <c r="D5" s="14">
        <v>4</v>
      </c>
    </row>
    <row r="6" spans="1:4" ht="15" customHeight="1" x14ac:dyDescent="0.3">
      <c r="A6" s="11" t="s">
        <v>7</v>
      </c>
      <c r="B6" s="15">
        <v>32</v>
      </c>
      <c r="C6" s="13">
        <v>15368</v>
      </c>
      <c r="D6" s="14">
        <v>5</v>
      </c>
    </row>
    <row r="7" spans="1:4" ht="15" customHeight="1" x14ac:dyDescent="0.3">
      <c r="A7" s="11" t="s">
        <v>8</v>
      </c>
      <c r="B7" s="12">
        <v>31</v>
      </c>
      <c r="C7" s="13">
        <v>14882</v>
      </c>
      <c r="D7" s="14">
        <v>7</v>
      </c>
    </row>
    <row r="8" spans="1:4" ht="15" customHeight="1" x14ac:dyDescent="0.3">
      <c r="A8" s="16" t="s">
        <v>9</v>
      </c>
      <c r="B8" s="17">
        <v>76</v>
      </c>
      <c r="C8" s="18">
        <v>36490</v>
      </c>
      <c r="D8" s="19">
        <v>16</v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"/>
  <sheetViews>
    <sheetView tabSelected="1" zoomScale="52" zoomScaleNormal="97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T42" sqref="T42"/>
    </sheetView>
  </sheetViews>
  <sheetFormatPr defaultColWidth="8.6640625" defaultRowHeight="14.4" x14ac:dyDescent="0.3"/>
  <cols>
    <col min="1" max="1" width="14" customWidth="1"/>
    <col min="2" max="10" width="7" customWidth="1"/>
    <col min="11" max="11" width="9" customWidth="1"/>
    <col min="12" max="12" width="8" customWidth="1"/>
    <col min="13" max="17" width="7" customWidth="1"/>
    <col min="18" max="18" width="14" customWidth="1"/>
  </cols>
  <sheetData>
    <row r="1" spans="1:18" ht="21.75" customHeight="1" x14ac:dyDescent="0.3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" customHeight="1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customHeight="1" x14ac:dyDescent="0.3">
      <c r="A3" s="7" t="s">
        <v>11</v>
      </c>
      <c r="B3" s="7"/>
      <c r="C3" s="7"/>
      <c r="D3" s="7"/>
      <c r="E3" s="6" t="s">
        <v>12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5" spans="1:18" ht="25.5" customHeight="1" x14ac:dyDescent="0.3">
      <c r="A5" s="5" t="s">
        <v>13</v>
      </c>
      <c r="B5" s="4" t="s">
        <v>14</v>
      </c>
      <c r="C5" s="4"/>
      <c r="D5" s="4"/>
      <c r="E5" s="4" t="s">
        <v>15</v>
      </c>
      <c r="F5" s="4"/>
      <c r="G5" s="4"/>
      <c r="H5" s="4" t="s">
        <v>16</v>
      </c>
      <c r="I5" s="4"/>
      <c r="J5" s="4"/>
      <c r="K5" s="5" t="s">
        <v>17</v>
      </c>
      <c r="L5" s="5" t="s">
        <v>18</v>
      </c>
      <c r="M5" s="5" t="s">
        <v>19</v>
      </c>
      <c r="N5" s="4" t="s">
        <v>20</v>
      </c>
      <c r="O5" s="4"/>
      <c r="P5" s="4" t="s">
        <v>21</v>
      </c>
      <c r="Q5" s="4"/>
      <c r="R5" s="5" t="s">
        <v>22</v>
      </c>
    </row>
    <row r="6" spans="1:18" ht="18" customHeight="1" x14ac:dyDescent="0.3">
      <c r="A6" s="5"/>
      <c r="B6" s="10" t="s">
        <v>23</v>
      </c>
      <c r="C6" s="10" t="s">
        <v>24</v>
      </c>
      <c r="D6" s="10" t="s">
        <v>25</v>
      </c>
      <c r="E6" s="10" t="s">
        <v>23</v>
      </c>
      <c r="F6" s="10" t="s">
        <v>24</v>
      </c>
      <c r="G6" s="10" t="s">
        <v>25</v>
      </c>
      <c r="H6" s="10" t="s">
        <v>23</v>
      </c>
      <c r="I6" s="10" t="s">
        <v>24</v>
      </c>
      <c r="J6" s="10" t="s">
        <v>25</v>
      </c>
      <c r="K6" s="5"/>
      <c r="L6" s="5"/>
      <c r="M6" s="5"/>
      <c r="N6" s="10" t="s">
        <v>26</v>
      </c>
      <c r="O6" s="10" t="s">
        <v>27</v>
      </c>
      <c r="P6" s="10" t="s">
        <v>26</v>
      </c>
      <c r="Q6" s="10" t="s">
        <v>27</v>
      </c>
      <c r="R6" s="5"/>
    </row>
    <row r="7" spans="1:18" ht="15" customHeight="1" x14ac:dyDescent="0.3">
      <c r="A7" s="21" t="s">
        <v>28</v>
      </c>
      <c r="B7" s="12">
        <v>75</v>
      </c>
      <c r="C7" s="12">
        <v>68</v>
      </c>
      <c r="D7" s="12">
        <v>76</v>
      </c>
      <c r="E7" s="12">
        <v>42</v>
      </c>
      <c r="F7" s="12">
        <v>44</v>
      </c>
      <c r="G7" s="12">
        <v>44</v>
      </c>
      <c r="H7" s="12">
        <v>45</v>
      </c>
      <c r="I7" s="12">
        <v>42</v>
      </c>
      <c r="J7" s="12">
        <v>43</v>
      </c>
      <c r="K7" s="22">
        <f>SUM(B7:J7)</f>
        <v>479</v>
      </c>
      <c r="L7" s="23"/>
      <c r="M7" s="24" t="s">
        <v>29</v>
      </c>
      <c r="N7" s="25">
        <v>32.1</v>
      </c>
      <c r="O7" s="25">
        <v>38.700000000000003</v>
      </c>
      <c r="P7" s="12">
        <v>32.6</v>
      </c>
      <c r="Q7" s="12">
        <v>71</v>
      </c>
      <c r="R7" s="26"/>
    </row>
    <row r="8" spans="1:18" ht="15" customHeight="1" x14ac:dyDescent="0.3">
      <c r="A8" s="21" t="s">
        <v>30</v>
      </c>
      <c r="B8" s="12">
        <v>71</v>
      </c>
      <c r="C8" s="12">
        <v>71</v>
      </c>
      <c r="D8" s="12">
        <v>72</v>
      </c>
      <c r="E8" s="12">
        <v>44</v>
      </c>
      <c r="F8" s="12">
        <v>44</v>
      </c>
      <c r="G8" s="12">
        <v>45</v>
      </c>
      <c r="H8" s="12">
        <v>41</v>
      </c>
      <c r="I8" s="12">
        <v>45</v>
      </c>
      <c r="J8" s="12">
        <v>44</v>
      </c>
      <c r="K8" s="22">
        <f t="shared" ref="K8:K24" si="0">SUM(B8:J8)</f>
        <v>477</v>
      </c>
      <c r="L8" s="23"/>
      <c r="M8" s="24" t="s">
        <v>29</v>
      </c>
      <c r="N8" s="25">
        <v>33.200000000000003</v>
      </c>
      <c r="O8" s="25">
        <v>39.200000000000003</v>
      </c>
      <c r="P8" s="12">
        <v>33.6</v>
      </c>
      <c r="Q8" s="12">
        <v>72</v>
      </c>
      <c r="R8" s="26"/>
    </row>
    <row r="9" spans="1:18" ht="15" customHeight="1" x14ac:dyDescent="0.3">
      <c r="A9" s="21" t="s">
        <v>31</v>
      </c>
      <c r="B9" s="12">
        <v>69</v>
      </c>
      <c r="C9" s="12">
        <v>69</v>
      </c>
      <c r="D9" s="12">
        <v>75</v>
      </c>
      <c r="E9" s="12">
        <v>42</v>
      </c>
      <c r="F9" s="12">
        <v>45</v>
      </c>
      <c r="G9" s="12">
        <v>44</v>
      </c>
      <c r="H9" s="12">
        <v>43</v>
      </c>
      <c r="I9" s="12">
        <v>45</v>
      </c>
      <c r="J9" s="12">
        <v>44</v>
      </c>
      <c r="K9" s="22">
        <f t="shared" si="0"/>
        <v>476</v>
      </c>
      <c r="L9" s="23"/>
      <c r="M9" s="24" t="s">
        <v>29</v>
      </c>
      <c r="N9" s="25">
        <v>32.700000000000003</v>
      </c>
      <c r="O9" s="25">
        <v>39.1</v>
      </c>
      <c r="P9" s="12">
        <v>33.6</v>
      </c>
      <c r="Q9" s="12">
        <v>72</v>
      </c>
      <c r="R9" s="26"/>
    </row>
    <row r="10" spans="1:18" ht="15" customHeight="1" x14ac:dyDescent="0.3">
      <c r="A10" s="21" t="s">
        <v>32</v>
      </c>
      <c r="B10" s="12">
        <v>76</v>
      </c>
      <c r="C10" s="12">
        <v>75</v>
      </c>
      <c r="D10" s="12">
        <v>73</v>
      </c>
      <c r="E10" s="12">
        <v>44</v>
      </c>
      <c r="F10" s="12">
        <v>44</v>
      </c>
      <c r="G10" s="12">
        <v>41</v>
      </c>
      <c r="H10" s="12">
        <v>41</v>
      </c>
      <c r="I10" s="12">
        <v>41</v>
      </c>
      <c r="J10" s="12">
        <v>42</v>
      </c>
      <c r="K10" s="22">
        <f t="shared" si="0"/>
        <v>477</v>
      </c>
      <c r="L10" s="23"/>
      <c r="M10" s="24" t="s">
        <v>29</v>
      </c>
      <c r="N10" s="25">
        <v>33.1</v>
      </c>
      <c r="O10" s="25">
        <v>38.6</v>
      </c>
      <c r="P10" s="12">
        <v>33.4</v>
      </c>
      <c r="Q10" s="12">
        <v>72</v>
      </c>
      <c r="R10" s="26"/>
    </row>
    <row r="11" spans="1:18" ht="15" customHeight="1" x14ac:dyDescent="0.3">
      <c r="A11" s="21" t="s">
        <v>33</v>
      </c>
      <c r="B11" s="12">
        <v>70</v>
      </c>
      <c r="C11" s="12">
        <v>75</v>
      </c>
      <c r="D11" s="12">
        <v>73</v>
      </c>
      <c r="E11" s="12">
        <v>44</v>
      </c>
      <c r="F11" s="12">
        <v>42</v>
      </c>
      <c r="G11" s="12">
        <v>42</v>
      </c>
      <c r="H11" s="12">
        <v>42</v>
      </c>
      <c r="I11" s="12">
        <v>43</v>
      </c>
      <c r="J11" s="12">
        <v>46</v>
      </c>
      <c r="K11" s="22">
        <f t="shared" si="0"/>
        <v>477</v>
      </c>
      <c r="L11" s="23"/>
      <c r="M11" s="24" t="s">
        <v>29</v>
      </c>
      <c r="N11" s="25">
        <v>32.6</v>
      </c>
      <c r="O11" s="25">
        <v>31.9</v>
      </c>
      <c r="P11" s="12">
        <v>33</v>
      </c>
      <c r="Q11" s="12">
        <v>76</v>
      </c>
      <c r="R11" s="26"/>
    </row>
    <row r="12" spans="1:18" ht="15" customHeight="1" x14ac:dyDescent="0.3">
      <c r="A12" s="21" t="s">
        <v>34</v>
      </c>
      <c r="B12" s="12">
        <v>74</v>
      </c>
      <c r="C12" s="12">
        <v>70</v>
      </c>
      <c r="D12" s="12">
        <v>68</v>
      </c>
      <c r="E12" s="12">
        <v>42</v>
      </c>
      <c r="F12" s="12">
        <v>42</v>
      </c>
      <c r="G12" s="12">
        <v>44</v>
      </c>
      <c r="H12" s="12">
        <v>43</v>
      </c>
      <c r="I12" s="12">
        <v>45</v>
      </c>
      <c r="J12" s="12">
        <v>42</v>
      </c>
      <c r="K12" s="22">
        <f t="shared" si="0"/>
        <v>470</v>
      </c>
      <c r="L12" s="23"/>
      <c r="M12" s="24" t="s">
        <v>29</v>
      </c>
      <c r="N12" s="25">
        <v>37</v>
      </c>
      <c r="O12" s="25">
        <v>40</v>
      </c>
      <c r="P12" s="12">
        <v>37.200000000000003</v>
      </c>
      <c r="Q12" s="12">
        <v>68</v>
      </c>
      <c r="R12" s="26"/>
    </row>
    <row r="13" spans="1:18" ht="15" customHeight="1" x14ac:dyDescent="0.3">
      <c r="A13" s="21" t="s">
        <v>35</v>
      </c>
      <c r="B13" s="12">
        <v>70</v>
      </c>
      <c r="C13" s="12">
        <v>70</v>
      </c>
      <c r="D13" s="12">
        <v>72</v>
      </c>
      <c r="E13" s="12">
        <v>42</v>
      </c>
      <c r="F13" s="12">
        <v>44</v>
      </c>
      <c r="G13" s="12">
        <v>42</v>
      </c>
      <c r="H13" s="12">
        <v>45</v>
      </c>
      <c r="I13" s="12">
        <v>42</v>
      </c>
      <c r="J13" s="12">
        <v>46</v>
      </c>
      <c r="K13" s="22">
        <f t="shared" si="0"/>
        <v>473</v>
      </c>
      <c r="L13" s="23"/>
      <c r="M13" s="24" t="s">
        <v>29</v>
      </c>
      <c r="N13" s="25">
        <v>33.1</v>
      </c>
      <c r="O13" s="25">
        <v>41.3</v>
      </c>
      <c r="P13" s="12">
        <v>33.299999999999997</v>
      </c>
      <c r="Q13" s="12">
        <v>72.2</v>
      </c>
      <c r="R13" s="26"/>
    </row>
    <row r="14" spans="1:18" ht="15" customHeight="1" x14ac:dyDescent="0.3">
      <c r="A14" s="21" t="s">
        <v>36</v>
      </c>
      <c r="B14" s="12">
        <v>73</v>
      </c>
      <c r="C14" s="12">
        <v>74</v>
      </c>
      <c r="D14" s="12">
        <v>71</v>
      </c>
      <c r="E14" s="12">
        <v>41</v>
      </c>
      <c r="F14" s="12">
        <v>43</v>
      </c>
      <c r="G14" s="12">
        <v>45</v>
      </c>
      <c r="H14" s="12">
        <v>43</v>
      </c>
      <c r="I14" s="12">
        <v>45</v>
      </c>
      <c r="J14" s="12">
        <v>42</v>
      </c>
      <c r="K14" s="22">
        <f t="shared" si="0"/>
        <v>477</v>
      </c>
      <c r="L14" s="23"/>
      <c r="M14" s="24" t="s">
        <v>29</v>
      </c>
      <c r="N14" s="25">
        <v>32.700000000000003</v>
      </c>
      <c r="O14" s="25">
        <v>39.6</v>
      </c>
      <c r="P14" s="12">
        <v>33.4</v>
      </c>
      <c r="Q14" s="12">
        <v>76</v>
      </c>
      <c r="R14" s="26"/>
    </row>
    <row r="15" spans="1:18" ht="15" customHeight="1" x14ac:dyDescent="0.3">
      <c r="A15" s="21" t="s">
        <v>37</v>
      </c>
      <c r="B15" s="12">
        <v>70</v>
      </c>
      <c r="C15" s="12">
        <v>73</v>
      </c>
      <c r="D15" s="12">
        <v>69</v>
      </c>
      <c r="E15" s="12">
        <v>43</v>
      </c>
      <c r="F15" s="12">
        <v>43</v>
      </c>
      <c r="G15" s="12">
        <v>46</v>
      </c>
      <c r="H15" s="12">
        <v>43</v>
      </c>
      <c r="I15" s="12">
        <v>42</v>
      </c>
      <c r="J15" s="12">
        <v>46</v>
      </c>
      <c r="K15" s="22">
        <f t="shared" si="0"/>
        <v>475</v>
      </c>
      <c r="L15" s="23"/>
      <c r="M15" s="24" t="s">
        <v>29</v>
      </c>
      <c r="N15" s="25">
        <v>32.1</v>
      </c>
      <c r="O15" s="25">
        <v>39.6</v>
      </c>
      <c r="P15" s="12">
        <v>33.4</v>
      </c>
      <c r="Q15" s="12">
        <v>76</v>
      </c>
      <c r="R15" s="26"/>
    </row>
    <row r="16" spans="1:18" ht="15" customHeight="1" x14ac:dyDescent="0.3">
      <c r="A16" s="21" t="s">
        <v>38</v>
      </c>
      <c r="B16" s="12">
        <v>73</v>
      </c>
      <c r="C16" s="12">
        <v>73</v>
      </c>
      <c r="D16" s="12">
        <v>69</v>
      </c>
      <c r="E16" s="12">
        <v>44</v>
      </c>
      <c r="F16" s="12">
        <v>43</v>
      </c>
      <c r="G16" s="12">
        <v>44</v>
      </c>
      <c r="H16" s="12">
        <v>45</v>
      </c>
      <c r="I16" s="12">
        <v>41</v>
      </c>
      <c r="J16" s="12">
        <v>45</v>
      </c>
      <c r="K16" s="22">
        <f t="shared" si="0"/>
        <v>477</v>
      </c>
      <c r="L16" s="23"/>
      <c r="M16" s="24" t="s">
        <v>29</v>
      </c>
      <c r="N16" s="25">
        <v>33.6</v>
      </c>
      <c r="O16" s="25">
        <v>38.1</v>
      </c>
      <c r="P16" s="12">
        <v>37.799999999999997</v>
      </c>
      <c r="Q16" s="12">
        <v>73</v>
      </c>
      <c r="R16" s="26"/>
    </row>
    <row r="17" spans="1:18" ht="15" customHeight="1" x14ac:dyDescent="0.3">
      <c r="A17" s="21" t="s">
        <v>39</v>
      </c>
      <c r="B17" s="12">
        <v>70</v>
      </c>
      <c r="C17" s="12">
        <v>68</v>
      </c>
      <c r="D17" s="12">
        <v>75</v>
      </c>
      <c r="E17" s="12">
        <v>45</v>
      </c>
      <c r="F17" s="12">
        <v>41</v>
      </c>
      <c r="G17" s="12">
        <v>45</v>
      </c>
      <c r="H17" s="12">
        <v>41</v>
      </c>
      <c r="I17" s="12">
        <v>44</v>
      </c>
      <c r="J17" s="12">
        <v>43</v>
      </c>
      <c r="K17" s="22">
        <f t="shared" si="0"/>
        <v>472</v>
      </c>
      <c r="L17" s="23"/>
      <c r="M17" s="24" t="s">
        <v>29</v>
      </c>
      <c r="N17" s="25">
        <v>37.200000000000003</v>
      </c>
      <c r="O17" s="25">
        <v>37.200000000000003</v>
      </c>
      <c r="P17" s="12">
        <v>33.5</v>
      </c>
      <c r="Q17" s="12">
        <v>72</v>
      </c>
      <c r="R17" s="26"/>
    </row>
    <row r="18" spans="1:18" ht="15" customHeight="1" x14ac:dyDescent="0.3">
      <c r="A18" s="21" t="s">
        <v>40</v>
      </c>
      <c r="B18" s="12" t="s">
        <v>170</v>
      </c>
      <c r="C18" s="12">
        <v>77</v>
      </c>
      <c r="D18" s="12">
        <v>70</v>
      </c>
      <c r="E18" s="12">
        <v>43</v>
      </c>
      <c r="F18" s="12">
        <v>44</v>
      </c>
      <c r="G18" s="12">
        <v>43</v>
      </c>
      <c r="H18" s="12">
        <v>43</v>
      </c>
      <c r="I18" s="12">
        <v>46</v>
      </c>
      <c r="J18" s="12">
        <v>42</v>
      </c>
      <c r="K18" s="22">
        <f t="shared" si="0"/>
        <v>408</v>
      </c>
      <c r="L18" s="23"/>
      <c r="M18" s="24" t="s">
        <v>29</v>
      </c>
      <c r="N18" s="25">
        <v>32.9</v>
      </c>
      <c r="O18" s="25">
        <v>38.9</v>
      </c>
      <c r="P18" s="12">
        <v>33.200000000000003</v>
      </c>
      <c r="Q18" s="12">
        <v>73</v>
      </c>
      <c r="R18" s="26"/>
    </row>
    <row r="19" spans="1:18" ht="15" customHeight="1" x14ac:dyDescent="0.3">
      <c r="A19" s="21" t="s">
        <v>41</v>
      </c>
      <c r="B19" s="12">
        <v>71</v>
      </c>
      <c r="C19" s="12">
        <v>73</v>
      </c>
      <c r="D19" s="12">
        <v>70</v>
      </c>
      <c r="E19" s="12">
        <v>42</v>
      </c>
      <c r="F19" s="12">
        <v>41</v>
      </c>
      <c r="G19" s="12">
        <v>41</v>
      </c>
      <c r="H19" s="12">
        <v>42</v>
      </c>
      <c r="I19" s="12">
        <v>46</v>
      </c>
      <c r="J19" s="12">
        <v>42</v>
      </c>
      <c r="K19" s="22">
        <f t="shared" si="0"/>
        <v>468</v>
      </c>
      <c r="L19" s="23"/>
      <c r="M19" s="24" t="s">
        <v>29</v>
      </c>
      <c r="N19" s="25">
        <v>33.4</v>
      </c>
      <c r="O19" s="25">
        <v>36.200000000000003</v>
      </c>
      <c r="P19" s="12">
        <v>33.799999999999997</v>
      </c>
      <c r="Q19" s="12">
        <v>74</v>
      </c>
      <c r="R19" s="26"/>
    </row>
    <row r="20" spans="1:18" ht="19.5" customHeight="1" x14ac:dyDescent="0.3">
      <c r="A20" s="21" t="s">
        <v>42</v>
      </c>
      <c r="B20" s="12">
        <v>69</v>
      </c>
      <c r="C20" s="12">
        <v>75</v>
      </c>
      <c r="D20" s="12">
        <v>73</v>
      </c>
      <c r="E20" s="12">
        <v>43</v>
      </c>
      <c r="F20" s="12">
        <v>45</v>
      </c>
      <c r="G20" s="12">
        <v>42</v>
      </c>
      <c r="H20" s="12">
        <v>42</v>
      </c>
      <c r="I20" s="12">
        <v>41</v>
      </c>
      <c r="J20" s="12">
        <v>44</v>
      </c>
      <c r="K20" s="22">
        <f t="shared" si="0"/>
        <v>474</v>
      </c>
      <c r="L20" s="23"/>
      <c r="M20" s="24" t="s">
        <v>29</v>
      </c>
      <c r="N20" s="25">
        <v>33.6</v>
      </c>
      <c r="O20" s="25">
        <v>36.9</v>
      </c>
      <c r="P20" s="12">
        <v>33.700000000000003</v>
      </c>
      <c r="Q20" s="12">
        <v>75</v>
      </c>
      <c r="R20" s="26"/>
    </row>
    <row r="21" spans="1:18" x14ac:dyDescent="0.3">
      <c r="A21" s="21" t="s">
        <v>43</v>
      </c>
      <c r="B21" s="42">
        <v>76</v>
      </c>
      <c r="C21" s="42">
        <v>69</v>
      </c>
      <c r="D21" s="42">
        <v>71</v>
      </c>
      <c r="E21" s="42">
        <v>42</v>
      </c>
      <c r="F21" s="12">
        <v>45</v>
      </c>
      <c r="G21" s="12">
        <v>42</v>
      </c>
      <c r="H21" s="12">
        <v>42</v>
      </c>
      <c r="I21" s="12">
        <v>43</v>
      </c>
      <c r="J21" s="12">
        <v>45</v>
      </c>
      <c r="K21" s="22">
        <f t="shared" si="0"/>
        <v>475</v>
      </c>
      <c r="L21" s="23"/>
      <c r="M21" s="24" t="s">
        <v>29</v>
      </c>
      <c r="N21" s="25">
        <v>37.200000000000003</v>
      </c>
      <c r="O21" s="25">
        <v>36.799999999999997</v>
      </c>
      <c r="P21" s="12">
        <v>33.6</v>
      </c>
      <c r="Q21" s="12">
        <v>75</v>
      </c>
      <c r="R21" s="26"/>
    </row>
    <row r="22" spans="1:18" ht="15" customHeight="1" x14ac:dyDescent="0.3">
      <c r="A22" s="40" t="s">
        <v>44</v>
      </c>
      <c r="B22" s="44">
        <v>75</v>
      </c>
      <c r="C22" s="44">
        <v>72</v>
      </c>
      <c r="D22" s="44">
        <v>68</v>
      </c>
      <c r="E22" s="44">
        <v>43</v>
      </c>
      <c r="F22" s="41">
        <v>45</v>
      </c>
      <c r="G22" s="12">
        <v>42</v>
      </c>
      <c r="H22" s="12">
        <v>42</v>
      </c>
      <c r="I22" s="12">
        <v>45</v>
      </c>
      <c r="J22" s="12">
        <v>43</v>
      </c>
      <c r="K22" s="22">
        <f t="shared" si="0"/>
        <v>475</v>
      </c>
      <c r="L22" s="23"/>
      <c r="M22" s="24" t="s">
        <v>29</v>
      </c>
      <c r="N22" s="25">
        <v>32.1</v>
      </c>
      <c r="O22" s="25">
        <v>39.700000000000003</v>
      </c>
      <c r="P22" s="12">
        <v>32.700000000000003</v>
      </c>
      <c r="Q22" s="12">
        <v>73</v>
      </c>
      <c r="R22" s="26"/>
    </row>
    <row r="23" spans="1:18" ht="15" customHeight="1" x14ac:dyDescent="0.3">
      <c r="A23" s="21" t="s">
        <v>45</v>
      </c>
      <c r="B23" s="43">
        <v>71</v>
      </c>
      <c r="C23" s="43">
        <v>76</v>
      </c>
      <c r="D23" s="43">
        <v>70</v>
      </c>
      <c r="E23" s="43">
        <v>44</v>
      </c>
      <c r="F23" s="12">
        <v>43</v>
      </c>
      <c r="G23" s="12">
        <v>42</v>
      </c>
      <c r="H23" s="12">
        <v>45</v>
      </c>
      <c r="I23" s="12">
        <v>46</v>
      </c>
      <c r="J23" s="12">
        <v>43</v>
      </c>
      <c r="K23" s="22">
        <f t="shared" si="0"/>
        <v>480</v>
      </c>
      <c r="L23" s="23"/>
      <c r="M23" s="24" t="s">
        <v>29</v>
      </c>
      <c r="N23" s="25">
        <v>33.4</v>
      </c>
      <c r="O23" s="25">
        <v>38.6</v>
      </c>
      <c r="P23" s="12">
        <v>33.799999999999997</v>
      </c>
      <c r="Q23" s="12">
        <v>70</v>
      </c>
      <c r="R23" s="26"/>
    </row>
    <row r="24" spans="1:18" ht="15" customHeight="1" x14ac:dyDescent="0.3">
      <c r="A24" s="21" t="s">
        <v>46</v>
      </c>
      <c r="B24" s="12">
        <v>73</v>
      </c>
      <c r="C24" s="12">
        <v>72</v>
      </c>
      <c r="D24" s="12">
        <v>74</v>
      </c>
      <c r="E24" s="12">
        <v>42</v>
      </c>
      <c r="F24" s="12">
        <v>43</v>
      </c>
      <c r="G24" s="12">
        <v>42</v>
      </c>
      <c r="H24" s="12">
        <v>42</v>
      </c>
      <c r="I24" s="12">
        <v>45</v>
      </c>
      <c r="J24" s="12">
        <v>46</v>
      </c>
      <c r="K24" s="22">
        <f t="shared" si="0"/>
        <v>479</v>
      </c>
      <c r="L24" s="23"/>
      <c r="M24" s="24" t="s">
        <v>29</v>
      </c>
      <c r="N24" s="25">
        <v>33.299999999999997</v>
      </c>
      <c r="O24" s="25">
        <v>38.700000000000003</v>
      </c>
      <c r="P24" s="12">
        <v>33.700000000000003</v>
      </c>
      <c r="Q24" s="12">
        <v>70</v>
      </c>
      <c r="R24" s="26"/>
    </row>
    <row r="25" spans="1:18" ht="15" customHeight="1" x14ac:dyDescent="0.3">
      <c r="A25" s="21" t="s">
        <v>47</v>
      </c>
      <c r="B25" s="12">
        <v>73</v>
      </c>
      <c r="C25" s="12">
        <v>72</v>
      </c>
      <c r="D25" s="12">
        <v>74</v>
      </c>
      <c r="E25" s="12">
        <v>42</v>
      </c>
      <c r="F25" s="12">
        <v>43</v>
      </c>
      <c r="G25" s="12">
        <v>45</v>
      </c>
      <c r="H25" s="12">
        <v>45</v>
      </c>
      <c r="I25" s="12">
        <v>42</v>
      </c>
      <c r="J25" s="12">
        <v>42</v>
      </c>
      <c r="K25" s="22">
        <v>480</v>
      </c>
      <c r="L25" s="23">
        <v>1</v>
      </c>
      <c r="M25" s="24" t="s">
        <v>48</v>
      </c>
      <c r="N25" s="25">
        <v>27</v>
      </c>
      <c r="O25" s="25">
        <v>35.5</v>
      </c>
      <c r="P25" s="12">
        <v>62</v>
      </c>
      <c r="Q25" s="12">
        <v>79</v>
      </c>
      <c r="R25" s="26" t="s">
        <v>49</v>
      </c>
    </row>
    <row r="26" spans="1:18" ht="15" customHeight="1" x14ac:dyDescent="0.3">
      <c r="A26" s="21" t="s">
        <v>50</v>
      </c>
      <c r="B26" s="15">
        <v>75</v>
      </c>
      <c r="C26" s="15">
        <v>75</v>
      </c>
      <c r="D26" s="15">
        <v>74</v>
      </c>
      <c r="E26" s="15">
        <v>44</v>
      </c>
      <c r="F26" s="15">
        <v>42</v>
      </c>
      <c r="G26" s="15">
        <v>44</v>
      </c>
      <c r="H26" s="15">
        <v>46</v>
      </c>
      <c r="I26" s="15">
        <v>44</v>
      </c>
      <c r="J26" s="15">
        <v>42</v>
      </c>
      <c r="K26" s="22">
        <v>486</v>
      </c>
      <c r="L26" s="23">
        <v>1</v>
      </c>
      <c r="M26" s="27" t="s">
        <v>48</v>
      </c>
      <c r="N26" s="28">
        <v>28.4</v>
      </c>
      <c r="O26" s="28">
        <v>34.1</v>
      </c>
      <c r="P26" s="15">
        <v>66</v>
      </c>
      <c r="Q26" s="15">
        <v>80</v>
      </c>
      <c r="R26" s="29" t="s">
        <v>49</v>
      </c>
    </row>
    <row r="27" spans="1:18" x14ac:dyDescent="0.3">
      <c r="A27" s="21" t="s">
        <v>51</v>
      </c>
      <c r="B27" s="12">
        <v>71</v>
      </c>
      <c r="C27" s="12">
        <v>76</v>
      </c>
      <c r="D27" s="12">
        <v>72</v>
      </c>
      <c r="E27" s="12">
        <v>41</v>
      </c>
      <c r="F27" s="12">
        <v>41</v>
      </c>
      <c r="G27" s="12">
        <v>44</v>
      </c>
      <c r="H27" s="12">
        <v>42</v>
      </c>
      <c r="I27" s="12">
        <v>44</v>
      </c>
      <c r="J27" s="12">
        <v>44</v>
      </c>
      <c r="K27" s="22">
        <v>475</v>
      </c>
      <c r="L27" s="30"/>
      <c r="M27" s="24" t="s">
        <v>29</v>
      </c>
      <c r="N27" s="25">
        <v>28</v>
      </c>
      <c r="O27" s="25">
        <v>36.700000000000003</v>
      </c>
      <c r="P27" s="12">
        <v>69</v>
      </c>
      <c r="Q27" s="12">
        <v>83</v>
      </c>
      <c r="R27" s="26"/>
    </row>
    <row r="28" spans="1:18" x14ac:dyDescent="0.3">
      <c r="A28" s="21" t="s">
        <v>52</v>
      </c>
      <c r="B28" s="15">
        <v>73</v>
      </c>
      <c r="C28" s="15">
        <v>70</v>
      </c>
      <c r="D28" s="15">
        <v>74</v>
      </c>
      <c r="E28" s="15">
        <v>43</v>
      </c>
      <c r="F28" s="15">
        <v>45</v>
      </c>
      <c r="G28" s="15">
        <v>43</v>
      </c>
      <c r="H28" s="15">
        <v>46</v>
      </c>
      <c r="I28" s="15">
        <v>43</v>
      </c>
      <c r="J28" s="15">
        <v>42</v>
      </c>
      <c r="K28" s="22">
        <v>479</v>
      </c>
      <c r="L28" s="31"/>
      <c r="M28" s="27" t="s">
        <v>29</v>
      </c>
      <c r="N28" s="28">
        <v>26.6</v>
      </c>
      <c r="O28" s="28">
        <v>34.4</v>
      </c>
      <c r="P28" s="15">
        <v>64</v>
      </c>
      <c r="Q28" s="15">
        <v>78</v>
      </c>
      <c r="R28" s="29"/>
    </row>
    <row r="29" spans="1:18" ht="15" customHeight="1" x14ac:dyDescent="0.3">
      <c r="A29" s="21" t="s">
        <v>53</v>
      </c>
      <c r="B29" s="32">
        <v>71</v>
      </c>
      <c r="C29" s="32">
        <v>76</v>
      </c>
      <c r="D29" s="32">
        <v>70</v>
      </c>
      <c r="E29" s="32">
        <v>44</v>
      </c>
      <c r="F29" s="32">
        <v>43</v>
      </c>
      <c r="G29" s="32">
        <v>44</v>
      </c>
      <c r="H29" s="32">
        <v>44</v>
      </c>
      <c r="I29" s="32">
        <v>43</v>
      </c>
      <c r="J29" s="32">
        <v>44</v>
      </c>
      <c r="K29" s="32">
        <v>479</v>
      </c>
      <c r="L29" s="32">
        <v>1</v>
      </c>
      <c r="M29" s="32" t="s">
        <v>48</v>
      </c>
      <c r="N29" s="32">
        <v>27.4</v>
      </c>
      <c r="O29" s="32">
        <v>36.200000000000003</v>
      </c>
      <c r="P29" s="32">
        <v>69</v>
      </c>
      <c r="Q29" s="32">
        <v>84</v>
      </c>
      <c r="R29" s="32" t="s">
        <v>49</v>
      </c>
    </row>
    <row r="30" spans="1:18" x14ac:dyDescent="0.3">
      <c r="A30" s="21" t="s">
        <v>54</v>
      </c>
      <c r="B30" s="15">
        <v>70</v>
      </c>
      <c r="C30" s="15">
        <v>74</v>
      </c>
      <c r="D30" s="15">
        <v>75</v>
      </c>
      <c r="E30" s="15">
        <v>42</v>
      </c>
      <c r="F30" s="15">
        <v>45</v>
      </c>
      <c r="G30" s="15">
        <v>42</v>
      </c>
      <c r="H30" s="15">
        <v>43</v>
      </c>
      <c r="I30" s="15">
        <v>45</v>
      </c>
      <c r="J30" s="15">
        <v>45</v>
      </c>
      <c r="K30" s="22">
        <v>481</v>
      </c>
      <c r="L30" s="31"/>
      <c r="M30" s="27" t="s">
        <v>29</v>
      </c>
      <c r="N30" s="28">
        <v>27.2</v>
      </c>
      <c r="O30" s="28">
        <v>37.200000000000003</v>
      </c>
      <c r="P30" s="15">
        <v>68</v>
      </c>
      <c r="Q30" s="15">
        <v>80</v>
      </c>
      <c r="R30" s="29"/>
    </row>
    <row r="31" spans="1:18" x14ac:dyDescent="0.3">
      <c r="A31" s="21" t="s">
        <v>55</v>
      </c>
      <c r="B31" s="12">
        <v>72</v>
      </c>
      <c r="C31" s="12">
        <v>76</v>
      </c>
      <c r="D31" s="12">
        <v>76</v>
      </c>
      <c r="E31" s="12">
        <v>41</v>
      </c>
      <c r="F31" s="12">
        <v>42</v>
      </c>
      <c r="G31" s="12">
        <v>41</v>
      </c>
      <c r="H31" s="12">
        <v>44</v>
      </c>
      <c r="I31" s="12">
        <v>45</v>
      </c>
      <c r="J31" s="12">
        <v>44</v>
      </c>
      <c r="K31" s="22">
        <v>481</v>
      </c>
      <c r="L31" s="30"/>
      <c r="M31" s="24" t="s">
        <v>29</v>
      </c>
      <c r="N31" s="25">
        <v>26.7</v>
      </c>
      <c r="O31" s="25">
        <v>37.200000000000003</v>
      </c>
      <c r="P31" s="12">
        <v>67</v>
      </c>
      <c r="Q31" s="12">
        <v>85</v>
      </c>
      <c r="R31" s="26"/>
    </row>
    <row r="32" spans="1:18" x14ac:dyDescent="0.3">
      <c r="A32" s="21" t="s">
        <v>56</v>
      </c>
      <c r="B32" s="15">
        <v>71</v>
      </c>
      <c r="C32" s="15">
        <v>75</v>
      </c>
      <c r="D32" s="15">
        <v>73</v>
      </c>
      <c r="E32" s="15">
        <v>44</v>
      </c>
      <c r="F32" s="15">
        <v>44</v>
      </c>
      <c r="G32" s="15">
        <v>42</v>
      </c>
      <c r="H32" s="15">
        <v>44</v>
      </c>
      <c r="I32" s="15">
        <v>43</v>
      </c>
      <c r="J32" s="15">
        <v>43</v>
      </c>
      <c r="K32" s="22">
        <v>479</v>
      </c>
      <c r="L32" s="31"/>
      <c r="M32" s="27" t="s">
        <v>29</v>
      </c>
      <c r="N32" s="28">
        <v>28.4</v>
      </c>
      <c r="O32" s="28">
        <v>35.700000000000003</v>
      </c>
      <c r="P32" s="15">
        <v>69</v>
      </c>
      <c r="Q32" s="15">
        <v>82</v>
      </c>
      <c r="R32" s="29"/>
    </row>
    <row r="33" spans="1:18" x14ac:dyDescent="0.3">
      <c r="A33" s="21" t="s">
        <v>57</v>
      </c>
      <c r="B33" s="12">
        <v>74</v>
      </c>
      <c r="C33" s="12">
        <v>73</v>
      </c>
      <c r="D33" s="12">
        <v>72</v>
      </c>
      <c r="E33" s="12">
        <v>42</v>
      </c>
      <c r="F33" s="12">
        <v>42</v>
      </c>
      <c r="G33" s="12">
        <v>45</v>
      </c>
      <c r="H33" s="12">
        <v>45</v>
      </c>
      <c r="I33" s="12">
        <v>42</v>
      </c>
      <c r="J33" s="12">
        <v>42</v>
      </c>
      <c r="K33" s="22">
        <v>477</v>
      </c>
      <c r="L33" s="30"/>
      <c r="M33" s="24" t="s">
        <v>29</v>
      </c>
      <c r="N33" s="25">
        <v>28.7</v>
      </c>
      <c r="O33" s="25">
        <v>34.1</v>
      </c>
      <c r="P33" s="12">
        <v>63</v>
      </c>
      <c r="Q33" s="12">
        <v>84</v>
      </c>
      <c r="R33" s="26"/>
    </row>
    <row r="34" spans="1:18" x14ac:dyDescent="0.3">
      <c r="A34" s="21" t="s">
        <v>58</v>
      </c>
      <c r="B34" s="15">
        <v>74</v>
      </c>
      <c r="C34" s="15">
        <v>70</v>
      </c>
      <c r="D34" s="15">
        <v>73</v>
      </c>
      <c r="E34" s="15">
        <v>44</v>
      </c>
      <c r="F34" s="15">
        <v>45</v>
      </c>
      <c r="G34" s="15">
        <v>44</v>
      </c>
      <c r="H34" s="15">
        <v>46</v>
      </c>
      <c r="I34" s="15">
        <v>44</v>
      </c>
      <c r="J34" s="15">
        <v>46</v>
      </c>
      <c r="K34" s="22">
        <v>486</v>
      </c>
      <c r="L34" s="31"/>
      <c r="M34" s="27" t="s">
        <v>29</v>
      </c>
      <c r="N34" s="28">
        <v>28.7</v>
      </c>
      <c r="O34" s="28">
        <v>33.5</v>
      </c>
      <c r="P34" s="15">
        <v>69</v>
      </c>
      <c r="Q34" s="15">
        <v>84</v>
      </c>
      <c r="R34" s="29"/>
    </row>
    <row r="35" spans="1:18" ht="26.4" x14ac:dyDescent="0.3">
      <c r="A35" s="21" t="s">
        <v>59</v>
      </c>
      <c r="B35" s="12">
        <v>74</v>
      </c>
      <c r="C35" s="12">
        <v>76</v>
      </c>
      <c r="D35" s="12">
        <v>72</v>
      </c>
      <c r="E35" s="12">
        <v>43</v>
      </c>
      <c r="F35" s="12">
        <v>41</v>
      </c>
      <c r="G35" s="12">
        <v>43</v>
      </c>
      <c r="H35" s="12">
        <v>45</v>
      </c>
      <c r="I35" s="12">
        <v>43</v>
      </c>
      <c r="J35" s="12">
        <v>45</v>
      </c>
      <c r="K35" s="22">
        <v>482</v>
      </c>
      <c r="L35" s="23">
        <v>1</v>
      </c>
      <c r="M35" s="24" t="s">
        <v>48</v>
      </c>
      <c r="N35" s="25">
        <v>26.5</v>
      </c>
      <c r="O35" s="25">
        <v>36.4</v>
      </c>
      <c r="P35" s="12">
        <v>69</v>
      </c>
      <c r="Q35" s="12">
        <v>87</v>
      </c>
      <c r="R35" s="26" t="s">
        <v>49</v>
      </c>
    </row>
    <row r="36" spans="1:18" x14ac:dyDescent="0.3">
      <c r="A36" s="21" t="s">
        <v>60</v>
      </c>
      <c r="B36" s="15">
        <v>76</v>
      </c>
      <c r="C36" s="15">
        <v>71</v>
      </c>
      <c r="D36" s="15">
        <v>74</v>
      </c>
      <c r="E36" s="15">
        <v>41</v>
      </c>
      <c r="F36" s="15">
        <v>43</v>
      </c>
      <c r="G36" s="15">
        <v>45</v>
      </c>
      <c r="H36" s="15">
        <v>46</v>
      </c>
      <c r="I36" s="15">
        <v>43</v>
      </c>
      <c r="J36" s="15">
        <v>43</v>
      </c>
      <c r="K36" s="22">
        <v>482</v>
      </c>
      <c r="L36" s="31"/>
      <c r="M36" s="27" t="s">
        <v>29</v>
      </c>
      <c r="N36" s="28">
        <v>27.4</v>
      </c>
      <c r="O36" s="28">
        <v>34.1</v>
      </c>
      <c r="P36" s="15">
        <v>71</v>
      </c>
      <c r="Q36" s="15">
        <v>87</v>
      </c>
      <c r="R36" s="29"/>
    </row>
    <row r="37" spans="1:18" x14ac:dyDescent="0.3">
      <c r="A37" s="21" t="s">
        <v>61</v>
      </c>
      <c r="B37" s="12">
        <v>70</v>
      </c>
      <c r="C37" s="12">
        <v>74</v>
      </c>
      <c r="D37" s="12">
        <v>72</v>
      </c>
      <c r="E37" s="12">
        <v>44</v>
      </c>
      <c r="F37" s="12">
        <v>41</v>
      </c>
      <c r="G37" s="12">
        <v>41</v>
      </c>
      <c r="H37" s="12">
        <v>44</v>
      </c>
      <c r="I37" s="12">
        <v>44</v>
      </c>
      <c r="J37" s="12">
        <v>43</v>
      </c>
      <c r="K37" s="22">
        <v>473</v>
      </c>
      <c r="L37" s="30"/>
      <c r="M37" s="24" t="s">
        <v>29</v>
      </c>
      <c r="N37" s="25">
        <v>26.6</v>
      </c>
      <c r="O37" s="25">
        <v>37</v>
      </c>
      <c r="P37" s="12">
        <v>71</v>
      </c>
      <c r="Q37" s="12">
        <v>78</v>
      </c>
      <c r="R37" s="26"/>
    </row>
    <row r="38" spans="1:18" x14ac:dyDescent="0.3">
      <c r="A38" s="16" t="s">
        <v>62</v>
      </c>
      <c r="B38" s="18">
        <v>946</v>
      </c>
      <c r="C38" s="18">
        <v>961</v>
      </c>
      <c r="D38" s="18">
        <v>951</v>
      </c>
      <c r="E38" s="18">
        <v>554</v>
      </c>
      <c r="F38" s="18">
        <v>559</v>
      </c>
      <c r="G38" s="18">
        <v>562</v>
      </c>
      <c r="H38" s="18">
        <v>577</v>
      </c>
      <c r="I38" s="18">
        <v>565</v>
      </c>
      <c r="J38" s="18">
        <v>565</v>
      </c>
      <c r="K38" s="18">
        <v>6240</v>
      </c>
      <c r="L38" s="19">
        <v>4</v>
      </c>
      <c r="M38" s="33" t="s">
        <v>63</v>
      </c>
      <c r="N38" s="33" t="s">
        <v>63</v>
      </c>
      <c r="O38" s="33" t="s">
        <v>63</v>
      </c>
      <c r="P38" s="33" t="s">
        <v>63</v>
      </c>
      <c r="Q38" s="33" t="s">
        <v>63</v>
      </c>
      <c r="R38" s="33" t="s">
        <v>63</v>
      </c>
    </row>
    <row r="40" spans="1:18" x14ac:dyDescent="0.3">
      <c r="A40" s="34" t="s">
        <v>64</v>
      </c>
    </row>
    <row r="41" spans="1:18" x14ac:dyDescent="0.3">
      <c r="A41" s="20" t="s">
        <v>65</v>
      </c>
      <c r="B41" s="35">
        <v>13</v>
      </c>
    </row>
    <row r="42" spans="1:18" x14ac:dyDescent="0.3">
      <c r="A42" s="20" t="s">
        <v>66</v>
      </c>
      <c r="B42" s="36">
        <v>6240</v>
      </c>
    </row>
    <row r="43" spans="1:18" x14ac:dyDescent="0.3">
      <c r="A43" s="20" t="s">
        <v>67</v>
      </c>
      <c r="B43" s="37">
        <v>4</v>
      </c>
    </row>
    <row r="44" spans="1:18" x14ac:dyDescent="0.3">
      <c r="A44" s="20" t="s">
        <v>68</v>
      </c>
      <c r="B44" s="38">
        <v>480</v>
      </c>
    </row>
    <row r="47" spans="1:18" x14ac:dyDescent="0.3">
      <c r="A47" s="39" t="s">
        <v>69</v>
      </c>
    </row>
  </sheetData>
  <mergeCells count="14">
    <mergeCell ref="A1:R1"/>
    <mergeCell ref="A2:R2"/>
    <mergeCell ref="A3:D3"/>
    <mergeCell ref="E3:R3"/>
    <mergeCell ref="A5:A6"/>
    <mergeCell ref="B5:D5"/>
    <mergeCell ref="E5:G5"/>
    <mergeCell ref="H5:J5"/>
    <mergeCell ref="K5:K6"/>
    <mergeCell ref="L5:L6"/>
    <mergeCell ref="M5:M6"/>
    <mergeCell ref="N5:O5"/>
    <mergeCell ref="P5:Q5"/>
    <mergeCell ref="R5:R6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8"/>
  <sheetViews>
    <sheetView zoomScale="69" zoomScaleNormal="97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R1"/>
    </sheetView>
  </sheetViews>
  <sheetFormatPr defaultColWidth="8.6640625" defaultRowHeight="14.4" x14ac:dyDescent="0.3"/>
  <cols>
    <col min="1" max="1" width="14" customWidth="1"/>
    <col min="2" max="10" width="7" customWidth="1"/>
    <col min="11" max="11" width="9" customWidth="1"/>
    <col min="12" max="12" width="8" customWidth="1"/>
    <col min="13" max="17" width="7" customWidth="1"/>
    <col min="18" max="18" width="14" customWidth="1"/>
  </cols>
  <sheetData>
    <row r="1" spans="1:18" ht="21.75" customHeight="1" x14ac:dyDescent="0.3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" customHeight="1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customHeight="1" x14ac:dyDescent="0.3">
      <c r="A3" s="7" t="s">
        <v>11</v>
      </c>
      <c r="B3" s="7"/>
      <c r="C3" s="7"/>
      <c r="D3" s="7"/>
      <c r="E3" s="6" t="s">
        <v>70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5" spans="1:18" ht="25.5" customHeight="1" x14ac:dyDescent="0.3">
      <c r="A5" s="5" t="s">
        <v>13</v>
      </c>
      <c r="B5" s="4" t="s">
        <v>14</v>
      </c>
      <c r="C5" s="4"/>
      <c r="D5" s="4"/>
      <c r="E5" s="4" t="s">
        <v>15</v>
      </c>
      <c r="F5" s="4"/>
      <c r="G5" s="4"/>
      <c r="H5" s="4" t="s">
        <v>16</v>
      </c>
      <c r="I5" s="4"/>
      <c r="J5" s="4"/>
      <c r="K5" s="5" t="s">
        <v>17</v>
      </c>
      <c r="L5" s="5" t="s">
        <v>18</v>
      </c>
      <c r="M5" s="5" t="s">
        <v>19</v>
      </c>
      <c r="N5" s="4" t="s">
        <v>20</v>
      </c>
      <c r="O5" s="4"/>
      <c r="P5" s="4" t="s">
        <v>21</v>
      </c>
      <c r="Q5" s="4"/>
      <c r="R5" s="5" t="s">
        <v>22</v>
      </c>
    </row>
    <row r="6" spans="1:18" ht="18" customHeight="1" x14ac:dyDescent="0.3">
      <c r="A6" s="5"/>
      <c r="B6" s="10" t="s">
        <v>23</v>
      </c>
      <c r="C6" s="10" t="s">
        <v>24</v>
      </c>
      <c r="D6" s="10" t="s">
        <v>25</v>
      </c>
      <c r="E6" s="10" t="s">
        <v>23</v>
      </c>
      <c r="F6" s="10" t="s">
        <v>24</v>
      </c>
      <c r="G6" s="10" t="s">
        <v>25</v>
      </c>
      <c r="H6" s="10" t="s">
        <v>23</v>
      </c>
      <c r="I6" s="10" t="s">
        <v>24</v>
      </c>
      <c r="J6" s="10" t="s">
        <v>25</v>
      </c>
      <c r="K6" s="5"/>
      <c r="L6" s="5"/>
      <c r="M6" s="5"/>
      <c r="N6" s="10" t="s">
        <v>26</v>
      </c>
      <c r="O6" s="10" t="s">
        <v>27</v>
      </c>
      <c r="P6" s="10" t="s">
        <v>26</v>
      </c>
      <c r="Q6" s="10" t="s">
        <v>27</v>
      </c>
      <c r="R6" s="5"/>
    </row>
    <row r="7" spans="1:18" ht="15" customHeight="1" x14ac:dyDescent="0.3">
      <c r="A7" s="21" t="s">
        <v>71</v>
      </c>
      <c r="B7" s="12">
        <v>76</v>
      </c>
      <c r="C7" s="12">
        <v>73</v>
      </c>
      <c r="D7" s="12">
        <v>76</v>
      </c>
      <c r="E7" s="12">
        <v>42</v>
      </c>
      <c r="F7" s="12">
        <v>43</v>
      </c>
      <c r="G7" s="12">
        <v>44</v>
      </c>
      <c r="H7" s="12">
        <v>42</v>
      </c>
      <c r="I7" s="12">
        <v>42</v>
      </c>
      <c r="J7" s="12">
        <v>46</v>
      </c>
      <c r="K7" s="22">
        <v>484</v>
      </c>
      <c r="L7" s="30"/>
      <c r="M7" s="24" t="s">
        <v>29</v>
      </c>
      <c r="N7" s="25">
        <v>27.5</v>
      </c>
      <c r="O7" s="25">
        <v>33.5</v>
      </c>
      <c r="P7" s="12">
        <v>62</v>
      </c>
      <c r="Q7" s="12">
        <v>79</v>
      </c>
      <c r="R7" s="26"/>
    </row>
    <row r="8" spans="1:18" ht="15" customHeight="1" x14ac:dyDescent="0.3">
      <c r="A8" s="21" t="s">
        <v>72</v>
      </c>
      <c r="B8" s="15">
        <v>71</v>
      </c>
      <c r="C8" s="15">
        <v>75</v>
      </c>
      <c r="D8" s="15">
        <v>72</v>
      </c>
      <c r="E8" s="15">
        <v>44</v>
      </c>
      <c r="F8" s="15">
        <v>44</v>
      </c>
      <c r="G8" s="15">
        <v>44</v>
      </c>
      <c r="H8" s="15">
        <v>42</v>
      </c>
      <c r="I8" s="15">
        <v>42</v>
      </c>
      <c r="J8" s="15">
        <v>46</v>
      </c>
      <c r="K8" s="22">
        <v>480</v>
      </c>
      <c r="L8" s="31"/>
      <c r="M8" s="27" t="s">
        <v>29</v>
      </c>
      <c r="N8" s="28">
        <v>28.7</v>
      </c>
      <c r="O8" s="28">
        <v>37.299999999999997</v>
      </c>
      <c r="P8" s="15">
        <v>67</v>
      </c>
      <c r="Q8" s="15">
        <v>84</v>
      </c>
      <c r="R8" s="29"/>
    </row>
    <row r="9" spans="1:18" ht="15" customHeight="1" x14ac:dyDescent="0.3">
      <c r="A9" s="21" t="s">
        <v>73</v>
      </c>
      <c r="B9" s="12">
        <v>72</v>
      </c>
      <c r="C9" s="12">
        <v>74</v>
      </c>
      <c r="D9" s="12">
        <v>71</v>
      </c>
      <c r="E9" s="12">
        <v>42</v>
      </c>
      <c r="F9" s="12">
        <v>44</v>
      </c>
      <c r="G9" s="12">
        <v>45</v>
      </c>
      <c r="H9" s="12">
        <v>46</v>
      </c>
      <c r="I9" s="12">
        <v>43</v>
      </c>
      <c r="J9" s="12">
        <v>44</v>
      </c>
      <c r="K9" s="22">
        <v>481</v>
      </c>
      <c r="L9" s="30"/>
      <c r="M9" s="24" t="s">
        <v>29</v>
      </c>
      <c r="N9" s="25">
        <v>26.7</v>
      </c>
      <c r="O9" s="25">
        <v>34.200000000000003</v>
      </c>
      <c r="P9" s="12">
        <v>68</v>
      </c>
      <c r="Q9" s="12">
        <v>86</v>
      </c>
      <c r="R9" s="26"/>
    </row>
    <row r="10" spans="1:18" ht="15" customHeight="1" x14ac:dyDescent="0.3">
      <c r="A10" s="21" t="s">
        <v>74</v>
      </c>
      <c r="B10" s="15">
        <v>75</v>
      </c>
      <c r="C10" s="15">
        <v>75</v>
      </c>
      <c r="D10" s="15">
        <v>73</v>
      </c>
      <c r="E10" s="15">
        <v>45</v>
      </c>
      <c r="F10" s="15">
        <v>41</v>
      </c>
      <c r="G10" s="15">
        <v>42</v>
      </c>
      <c r="H10" s="15">
        <v>42</v>
      </c>
      <c r="I10" s="15">
        <v>43</v>
      </c>
      <c r="J10" s="15">
        <v>46</v>
      </c>
      <c r="K10" s="22">
        <v>482</v>
      </c>
      <c r="L10" s="23">
        <v>1</v>
      </c>
      <c r="M10" s="27" t="s">
        <v>48</v>
      </c>
      <c r="N10" s="28">
        <v>27.7</v>
      </c>
      <c r="O10" s="28">
        <v>34</v>
      </c>
      <c r="P10" s="15">
        <v>69</v>
      </c>
      <c r="Q10" s="15">
        <v>85</v>
      </c>
      <c r="R10" s="29" t="s">
        <v>49</v>
      </c>
    </row>
    <row r="11" spans="1:18" ht="15" customHeight="1" x14ac:dyDescent="0.3">
      <c r="A11" s="21" t="s">
        <v>75</v>
      </c>
      <c r="B11" s="12">
        <v>70</v>
      </c>
      <c r="C11" s="12">
        <v>71</v>
      </c>
      <c r="D11" s="12">
        <v>75</v>
      </c>
      <c r="E11" s="12">
        <v>45</v>
      </c>
      <c r="F11" s="12">
        <v>42</v>
      </c>
      <c r="G11" s="12">
        <v>43</v>
      </c>
      <c r="H11" s="12">
        <v>43</v>
      </c>
      <c r="I11" s="12">
        <v>46</v>
      </c>
      <c r="J11" s="12">
        <v>46</v>
      </c>
      <c r="K11" s="22">
        <v>481</v>
      </c>
      <c r="L11" s="30"/>
      <c r="M11" s="24" t="s">
        <v>29</v>
      </c>
      <c r="N11" s="25">
        <v>27.6</v>
      </c>
      <c r="O11" s="25">
        <v>35.700000000000003</v>
      </c>
      <c r="P11" s="12">
        <v>69</v>
      </c>
      <c r="Q11" s="12">
        <v>85</v>
      </c>
      <c r="R11" s="26"/>
    </row>
    <row r="12" spans="1:18" ht="15" customHeight="1" x14ac:dyDescent="0.3">
      <c r="A12" s="21" t="s">
        <v>76</v>
      </c>
      <c r="B12" s="15">
        <v>71</v>
      </c>
      <c r="C12" s="15">
        <v>74</v>
      </c>
      <c r="D12" s="15">
        <v>76</v>
      </c>
      <c r="E12" s="15">
        <v>42</v>
      </c>
      <c r="F12" s="15">
        <v>45</v>
      </c>
      <c r="G12" s="15">
        <v>44</v>
      </c>
      <c r="H12" s="15">
        <v>46</v>
      </c>
      <c r="I12" s="15">
        <v>43</v>
      </c>
      <c r="J12" s="15">
        <v>43</v>
      </c>
      <c r="K12" s="22">
        <v>484</v>
      </c>
      <c r="L12" s="31"/>
      <c r="M12" s="27" t="s">
        <v>29</v>
      </c>
      <c r="N12" s="28">
        <v>27.8</v>
      </c>
      <c r="O12" s="28">
        <v>36.799999999999997</v>
      </c>
      <c r="P12" s="15">
        <v>68</v>
      </c>
      <c r="Q12" s="15">
        <v>87</v>
      </c>
      <c r="R12" s="29"/>
    </row>
    <row r="13" spans="1:18" ht="15" customHeight="1" x14ac:dyDescent="0.3">
      <c r="A13" s="21" t="s">
        <v>77</v>
      </c>
      <c r="B13" s="12">
        <v>73</v>
      </c>
      <c r="C13" s="12">
        <v>74</v>
      </c>
      <c r="D13" s="12">
        <v>75</v>
      </c>
      <c r="E13" s="12">
        <v>42</v>
      </c>
      <c r="F13" s="12">
        <v>41</v>
      </c>
      <c r="G13" s="12">
        <v>42</v>
      </c>
      <c r="H13" s="12">
        <v>42</v>
      </c>
      <c r="I13" s="12">
        <v>46</v>
      </c>
      <c r="J13" s="12">
        <v>42</v>
      </c>
      <c r="K13" s="22">
        <v>477</v>
      </c>
      <c r="L13" s="30"/>
      <c r="M13" s="24" t="s">
        <v>29</v>
      </c>
      <c r="N13" s="25">
        <v>27.4</v>
      </c>
      <c r="O13" s="25">
        <v>33.799999999999997</v>
      </c>
      <c r="P13" s="12">
        <v>62</v>
      </c>
      <c r="Q13" s="12">
        <v>83</v>
      </c>
      <c r="R13" s="26"/>
    </row>
    <row r="14" spans="1:18" ht="15" customHeight="1" x14ac:dyDescent="0.3">
      <c r="A14" s="21" t="s">
        <v>78</v>
      </c>
      <c r="B14" s="15">
        <v>71</v>
      </c>
      <c r="C14" s="15">
        <v>70</v>
      </c>
      <c r="D14" s="15">
        <v>75</v>
      </c>
      <c r="E14" s="15">
        <v>45</v>
      </c>
      <c r="F14" s="15">
        <v>44</v>
      </c>
      <c r="G14" s="15">
        <v>45</v>
      </c>
      <c r="H14" s="15">
        <v>42</v>
      </c>
      <c r="I14" s="15">
        <v>43</v>
      </c>
      <c r="J14" s="15">
        <v>44</v>
      </c>
      <c r="K14" s="22">
        <v>479</v>
      </c>
      <c r="L14" s="31"/>
      <c r="M14" s="27" t="s">
        <v>29</v>
      </c>
      <c r="N14" s="28">
        <v>26.6</v>
      </c>
      <c r="O14" s="28">
        <v>31.2</v>
      </c>
      <c r="P14" s="15">
        <v>70</v>
      </c>
      <c r="Q14" s="15">
        <v>88</v>
      </c>
      <c r="R14" s="29"/>
    </row>
    <row r="15" spans="1:18" ht="15" customHeight="1" x14ac:dyDescent="0.3">
      <c r="A15" s="21" t="s">
        <v>79</v>
      </c>
      <c r="B15" s="12">
        <v>71</v>
      </c>
      <c r="C15" s="12">
        <v>70</v>
      </c>
      <c r="D15" s="12">
        <v>75</v>
      </c>
      <c r="E15" s="12">
        <v>42</v>
      </c>
      <c r="F15" s="12">
        <v>43</v>
      </c>
      <c r="G15" s="12">
        <v>42</v>
      </c>
      <c r="H15" s="12">
        <v>44</v>
      </c>
      <c r="I15" s="12">
        <v>44</v>
      </c>
      <c r="J15" s="12">
        <v>43</v>
      </c>
      <c r="K15" s="22">
        <v>474</v>
      </c>
      <c r="L15" s="30"/>
      <c r="M15" s="24" t="s">
        <v>29</v>
      </c>
      <c r="N15" s="25">
        <v>27.6</v>
      </c>
      <c r="O15" s="25">
        <v>31.4</v>
      </c>
      <c r="P15" s="12">
        <v>72</v>
      </c>
      <c r="Q15" s="12">
        <v>82</v>
      </c>
      <c r="R15" s="26"/>
    </row>
    <row r="16" spans="1:18" ht="15" customHeight="1" x14ac:dyDescent="0.3">
      <c r="A16" s="21" t="s">
        <v>80</v>
      </c>
      <c r="B16" s="15">
        <v>76</v>
      </c>
      <c r="C16" s="15">
        <v>70</v>
      </c>
      <c r="D16" s="15">
        <v>75</v>
      </c>
      <c r="E16" s="15">
        <v>42</v>
      </c>
      <c r="F16" s="15">
        <v>42</v>
      </c>
      <c r="G16" s="15">
        <v>45</v>
      </c>
      <c r="H16" s="15">
        <v>44</v>
      </c>
      <c r="I16" s="15">
        <v>44</v>
      </c>
      <c r="J16" s="15">
        <v>44</v>
      </c>
      <c r="K16" s="22">
        <v>482</v>
      </c>
      <c r="L16" s="31"/>
      <c r="M16" s="27" t="s">
        <v>29</v>
      </c>
      <c r="N16" s="28">
        <v>27.7</v>
      </c>
      <c r="O16" s="28">
        <v>32.299999999999997</v>
      </c>
      <c r="P16" s="15">
        <v>67</v>
      </c>
      <c r="Q16" s="15">
        <v>84</v>
      </c>
      <c r="R16" s="29"/>
    </row>
    <row r="17" spans="1:18" ht="15" customHeight="1" x14ac:dyDescent="0.3">
      <c r="A17" s="21" t="s">
        <v>81</v>
      </c>
      <c r="B17" s="12">
        <v>70</v>
      </c>
      <c r="C17" s="12">
        <v>73</v>
      </c>
      <c r="D17" s="12">
        <v>71</v>
      </c>
      <c r="E17" s="12">
        <v>41</v>
      </c>
      <c r="F17" s="12">
        <v>43</v>
      </c>
      <c r="G17" s="12">
        <v>42</v>
      </c>
      <c r="H17" s="12">
        <v>44</v>
      </c>
      <c r="I17" s="12">
        <v>44</v>
      </c>
      <c r="J17" s="12">
        <v>44</v>
      </c>
      <c r="K17" s="22">
        <v>472</v>
      </c>
      <c r="L17" s="30"/>
      <c r="M17" s="24" t="s">
        <v>29</v>
      </c>
      <c r="N17" s="25">
        <v>27.5</v>
      </c>
      <c r="O17" s="25">
        <v>34.1</v>
      </c>
      <c r="P17" s="12">
        <v>71</v>
      </c>
      <c r="Q17" s="12">
        <v>87</v>
      </c>
      <c r="R17" s="26"/>
    </row>
    <row r="18" spans="1:18" ht="15" customHeight="1" x14ac:dyDescent="0.3">
      <c r="A18" s="21" t="s">
        <v>82</v>
      </c>
      <c r="B18" s="15">
        <v>74</v>
      </c>
      <c r="C18" s="15">
        <v>76</v>
      </c>
      <c r="D18" s="15">
        <v>74</v>
      </c>
      <c r="E18" s="15">
        <v>44</v>
      </c>
      <c r="F18" s="15">
        <v>43</v>
      </c>
      <c r="G18" s="15">
        <v>41</v>
      </c>
      <c r="H18" s="15">
        <v>46</v>
      </c>
      <c r="I18" s="15">
        <v>42</v>
      </c>
      <c r="J18" s="15">
        <v>42</v>
      </c>
      <c r="K18" s="22">
        <v>482</v>
      </c>
      <c r="L18" s="31"/>
      <c r="M18" s="27" t="s">
        <v>29</v>
      </c>
      <c r="N18" s="28">
        <v>26.7</v>
      </c>
      <c r="O18" s="28">
        <v>31.9</v>
      </c>
      <c r="P18" s="15">
        <v>73</v>
      </c>
      <c r="Q18" s="15">
        <v>87</v>
      </c>
      <c r="R18" s="29"/>
    </row>
    <row r="19" spans="1:18" ht="15" customHeight="1" x14ac:dyDescent="0.3">
      <c r="A19" s="21" t="s">
        <v>83</v>
      </c>
      <c r="B19" s="12">
        <v>72</v>
      </c>
      <c r="C19" s="12">
        <v>74</v>
      </c>
      <c r="D19" s="12">
        <v>70</v>
      </c>
      <c r="E19" s="12">
        <v>43</v>
      </c>
      <c r="F19" s="12">
        <v>43</v>
      </c>
      <c r="G19" s="12">
        <v>45</v>
      </c>
      <c r="H19" s="12">
        <v>43</v>
      </c>
      <c r="I19" s="12">
        <v>42</v>
      </c>
      <c r="J19" s="12">
        <v>44</v>
      </c>
      <c r="K19" s="22">
        <v>476</v>
      </c>
      <c r="L19" s="30"/>
      <c r="M19" s="24" t="s">
        <v>29</v>
      </c>
      <c r="N19" s="25">
        <v>26.8</v>
      </c>
      <c r="O19" s="25">
        <v>31.9</v>
      </c>
      <c r="P19" s="12">
        <v>71</v>
      </c>
      <c r="Q19" s="12">
        <v>85</v>
      </c>
      <c r="R19" s="26"/>
    </row>
    <row r="20" spans="1:18" ht="15" customHeight="1" x14ac:dyDescent="0.3">
      <c r="A20" s="21" t="s">
        <v>84</v>
      </c>
      <c r="B20" s="15">
        <v>71</v>
      </c>
      <c r="C20" s="15">
        <v>75</v>
      </c>
      <c r="D20" s="15">
        <v>72</v>
      </c>
      <c r="E20" s="15">
        <v>42</v>
      </c>
      <c r="F20" s="15">
        <v>41</v>
      </c>
      <c r="G20" s="15">
        <v>41</v>
      </c>
      <c r="H20" s="15">
        <v>46</v>
      </c>
      <c r="I20" s="15">
        <v>43</v>
      </c>
      <c r="J20" s="15">
        <v>46</v>
      </c>
      <c r="K20" s="22">
        <v>477</v>
      </c>
      <c r="L20" s="31"/>
      <c r="M20" s="27" t="s">
        <v>29</v>
      </c>
      <c r="N20" s="28">
        <v>27.4</v>
      </c>
      <c r="O20" s="28">
        <v>32.200000000000003</v>
      </c>
      <c r="P20" s="15">
        <v>70</v>
      </c>
      <c r="Q20" s="15">
        <v>87</v>
      </c>
      <c r="R20" s="29"/>
    </row>
    <row r="21" spans="1:18" ht="15" customHeight="1" x14ac:dyDescent="0.3">
      <c r="A21" s="21" t="s">
        <v>85</v>
      </c>
      <c r="B21" s="12">
        <v>74</v>
      </c>
      <c r="C21" s="12">
        <v>72</v>
      </c>
      <c r="D21" s="12">
        <v>73</v>
      </c>
      <c r="E21" s="12">
        <v>41</v>
      </c>
      <c r="F21" s="12">
        <v>44</v>
      </c>
      <c r="G21" s="12">
        <v>42</v>
      </c>
      <c r="H21" s="12">
        <v>46</v>
      </c>
      <c r="I21" s="12">
        <v>42</v>
      </c>
      <c r="J21" s="12">
        <v>44</v>
      </c>
      <c r="K21" s="22">
        <v>478</v>
      </c>
      <c r="L21" s="30"/>
      <c r="M21" s="24" t="s">
        <v>29</v>
      </c>
      <c r="N21" s="25">
        <v>27</v>
      </c>
      <c r="O21" s="25">
        <v>33.6</v>
      </c>
      <c r="P21" s="12">
        <v>68</v>
      </c>
      <c r="Q21" s="12">
        <v>82</v>
      </c>
      <c r="R21" s="26"/>
    </row>
    <row r="22" spans="1:18" ht="15" customHeight="1" x14ac:dyDescent="0.3">
      <c r="A22" s="21" t="s">
        <v>86</v>
      </c>
      <c r="B22" s="15">
        <v>76</v>
      </c>
      <c r="C22" s="15">
        <v>76</v>
      </c>
      <c r="D22" s="15">
        <v>76</v>
      </c>
      <c r="E22" s="15">
        <v>42</v>
      </c>
      <c r="F22" s="15">
        <v>41</v>
      </c>
      <c r="G22" s="15">
        <v>42</v>
      </c>
      <c r="H22" s="15">
        <v>42</v>
      </c>
      <c r="I22" s="15">
        <v>45</v>
      </c>
      <c r="J22" s="15">
        <v>45</v>
      </c>
      <c r="K22" s="22">
        <v>485</v>
      </c>
      <c r="L22" s="31"/>
      <c r="M22" s="27" t="s">
        <v>29</v>
      </c>
      <c r="N22" s="28">
        <v>27.3</v>
      </c>
      <c r="O22" s="28">
        <v>31.7</v>
      </c>
      <c r="P22" s="15">
        <v>69</v>
      </c>
      <c r="Q22" s="15">
        <v>82</v>
      </c>
      <c r="R22" s="29"/>
    </row>
    <row r="23" spans="1:18" ht="15" customHeight="1" x14ac:dyDescent="0.3">
      <c r="A23" s="21" t="s">
        <v>87</v>
      </c>
      <c r="B23" s="12">
        <v>76</v>
      </c>
      <c r="C23" s="12">
        <v>73</v>
      </c>
      <c r="D23" s="12">
        <v>74</v>
      </c>
      <c r="E23" s="12">
        <v>44</v>
      </c>
      <c r="F23" s="12">
        <v>44</v>
      </c>
      <c r="G23" s="12">
        <v>44</v>
      </c>
      <c r="H23" s="12">
        <v>42</v>
      </c>
      <c r="I23" s="12">
        <v>45</v>
      </c>
      <c r="J23" s="12">
        <v>45</v>
      </c>
      <c r="K23" s="22">
        <v>487</v>
      </c>
      <c r="L23" s="30"/>
      <c r="M23" s="24" t="s">
        <v>29</v>
      </c>
      <c r="N23" s="25">
        <v>27.9</v>
      </c>
      <c r="O23" s="25">
        <v>34.1</v>
      </c>
      <c r="P23" s="12">
        <v>69</v>
      </c>
      <c r="Q23" s="12">
        <v>82</v>
      </c>
      <c r="R23" s="26"/>
    </row>
    <row r="24" spans="1:18" ht="15" customHeight="1" x14ac:dyDescent="0.3">
      <c r="A24" s="21" t="s">
        <v>88</v>
      </c>
      <c r="B24" s="15">
        <v>73</v>
      </c>
      <c r="C24" s="15">
        <v>70</v>
      </c>
      <c r="D24" s="15">
        <v>73</v>
      </c>
      <c r="E24" s="15">
        <v>41</v>
      </c>
      <c r="F24" s="15">
        <v>43</v>
      </c>
      <c r="G24" s="15">
        <v>45</v>
      </c>
      <c r="H24" s="15">
        <v>44</v>
      </c>
      <c r="I24" s="15">
        <v>46</v>
      </c>
      <c r="J24" s="15">
        <v>46</v>
      </c>
      <c r="K24" s="22">
        <v>481</v>
      </c>
      <c r="L24" s="23">
        <v>2</v>
      </c>
      <c r="M24" s="27" t="s">
        <v>48</v>
      </c>
      <c r="N24" s="28">
        <v>25.8</v>
      </c>
      <c r="O24" s="28">
        <v>35.200000000000003</v>
      </c>
      <c r="P24" s="15">
        <v>68</v>
      </c>
      <c r="Q24" s="15">
        <v>84</v>
      </c>
      <c r="R24" s="29" t="s">
        <v>89</v>
      </c>
    </row>
    <row r="25" spans="1:18" ht="15" customHeight="1" x14ac:dyDescent="0.3">
      <c r="A25" s="21" t="s">
        <v>90</v>
      </c>
      <c r="B25" s="12">
        <v>76</v>
      </c>
      <c r="C25" s="12">
        <v>75</v>
      </c>
      <c r="D25" s="12">
        <v>73</v>
      </c>
      <c r="E25" s="12">
        <v>43</v>
      </c>
      <c r="F25" s="12">
        <v>42</v>
      </c>
      <c r="G25" s="12">
        <v>45</v>
      </c>
      <c r="H25" s="12">
        <v>46</v>
      </c>
      <c r="I25" s="12">
        <v>44</v>
      </c>
      <c r="J25" s="12">
        <v>42</v>
      </c>
      <c r="K25" s="22">
        <v>486</v>
      </c>
      <c r="L25" s="30"/>
      <c r="M25" s="24" t="s">
        <v>29</v>
      </c>
      <c r="N25" s="25">
        <v>27.3</v>
      </c>
      <c r="O25" s="25">
        <v>31.8</v>
      </c>
      <c r="P25" s="12">
        <v>74</v>
      </c>
      <c r="Q25" s="12">
        <v>85</v>
      </c>
      <c r="R25" s="26"/>
    </row>
    <row r="26" spans="1:18" ht="15" customHeight="1" x14ac:dyDescent="0.3">
      <c r="A26" s="21" t="s">
        <v>91</v>
      </c>
      <c r="B26" s="15">
        <v>73</v>
      </c>
      <c r="C26" s="15">
        <v>71</v>
      </c>
      <c r="D26" s="15">
        <v>72</v>
      </c>
      <c r="E26" s="15">
        <v>42</v>
      </c>
      <c r="F26" s="15">
        <v>44</v>
      </c>
      <c r="G26" s="15">
        <v>44</v>
      </c>
      <c r="H26" s="15">
        <v>46</v>
      </c>
      <c r="I26" s="15">
        <v>46</v>
      </c>
      <c r="J26" s="15">
        <v>44</v>
      </c>
      <c r="K26" s="22">
        <v>482</v>
      </c>
      <c r="L26" s="31"/>
      <c r="M26" s="27" t="s">
        <v>29</v>
      </c>
      <c r="N26" s="28">
        <v>26.7</v>
      </c>
      <c r="O26" s="28">
        <v>31.6</v>
      </c>
      <c r="P26" s="15">
        <v>74</v>
      </c>
      <c r="Q26" s="15">
        <v>84</v>
      </c>
      <c r="R26" s="29"/>
    </row>
    <row r="27" spans="1:18" ht="15" customHeight="1" x14ac:dyDescent="0.3">
      <c r="A27" s="21" t="s">
        <v>92</v>
      </c>
      <c r="B27" s="12">
        <v>70</v>
      </c>
      <c r="C27" s="12">
        <v>74</v>
      </c>
      <c r="D27" s="12">
        <v>71</v>
      </c>
      <c r="E27" s="12">
        <v>44</v>
      </c>
      <c r="F27" s="12">
        <v>43</v>
      </c>
      <c r="G27" s="12">
        <v>42</v>
      </c>
      <c r="H27" s="12">
        <v>45</v>
      </c>
      <c r="I27" s="12">
        <v>43</v>
      </c>
      <c r="J27" s="12">
        <v>46</v>
      </c>
      <c r="K27" s="22">
        <v>478</v>
      </c>
      <c r="L27" s="30"/>
      <c r="M27" s="24" t="s">
        <v>29</v>
      </c>
      <c r="N27" s="25">
        <v>25.9</v>
      </c>
      <c r="O27" s="25">
        <v>35.1</v>
      </c>
      <c r="P27" s="12">
        <v>68</v>
      </c>
      <c r="Q27" s="12">
        <v>90</v>
      </c>
      <c r="R27" s="26"/>
    </row>
    <row r="28" spans="1:18" ht="15" customHeight="1" x14ac:dyDescent="0.3">
      <c r="A28" s="21" t="s">
        <v>93</v>
      </c>
      <c r="B28" s="15">
        <v>70</v>
      </c>
      <c r="C28" s="15">
        <v>73</v>
      </c>
      <c r="D28" s="15">
        <v>70</v>
      </c>
      <c r="E28" s="15">
        <v>41</v>
      </c>
      <c r="F28" s="15">
        <v>42</v>
      </c>
      <c r="G28" s="15">
        <v>43</v>
      </c>
      <c r="H28" s="15">
        <v>45</v>
      </c>
      <c r="I28" s="15">
        <v>43</v>
      </c>
      <c r="J28" s="15">
        <v>46</v>
      </c>
      <c r="K28" s="22">
        <v>473</v>
      </c>
      <c r="L28" s="31"/>
      <c r="M28" s="27" t="s">
        <v>29</v>
      </c>
      <c r="N28" s="28">
        <v>25.6</v>
      </c>
      <c r="O28" s="28">
        <v>34.9</v>
      </c>
      <c r="P28" s="15">
        <v>67</v>
      </c>
      <c r="Q28" s="15">
        <v>86</v>
      </c>
      <c r="R28" s="29"/>
    </row>
    <row r="29" spans="1:18" ht="15" customHeight="1" x14ac:dyDescent="0.3">
      <c r="A29" s="21" t="s">
        <v>94</v>
      </c>
      <c r="B29" s="12">
        <v>75</v>
      </c>
      <c r="C29" s="12">
        <v>71</v>
      </c>
      <c r="D29" s="12">
        <v>76</v>
      </c>
      <c r="E29" s="12">
        <v>41</v>
      </c>
      <c r="F29" s="12">
        <v>45</v>
      </c>
      <c r="G29" s="12">
        <v>41</v>
      </c>
      <c r="H29" s="12">
        <v>46</v>
      </c>
      <c r="I29" s="12">
        <v>46</v>
      </c>
      <c r="J29" s="12">
        <v>46</v>
      </c>
      <c r="K29" s="22">
        <v>487</v>
      </c>
      <c r="L29" s="30"/>
      <c r="M29" s="24" t="s">
        <v>29</v>
      </c>
      <c r="N29" s="25">
        <v>25.6</v>
      </c>
      <c r="O29" s="25">
        <v>32.799999999999997</v>
      </c>
      <c r="P29" s="12">
        <v>74</v>
      </c>
      <c r="Q29" s="12">
        <v>84</v>
      </c>
      <c r="R29" s="26"/>
    </row>
    <row r="30" spans="1:18" ht="15" customHeight="1" x14ac:dyDescent="0.3">
      <c r="A30" s="21" t="s">
        <v>95</v>
      </c>
      <c r="B30" s="15">
        <v>75</v>
      </c>
      <c r="C30" s="15">
        <v>71</v>
      </c>
      <c r="D30" s="15">
        <v>71</v>
      </c>
      <c r="E30" s="15">
        <v>44</v>
      </c>
      <c r="F30" s="15">
        <v>43</v>
      </c>
      <c r="G30" s="15">
        <v>45</v>
      </c>
      <c r="H30" s="15">
        <v>44</v>
      </c>
      <c r="I30" s="15">
        <v>42</v>
      </c>
      <c r="J30" s="15">
        <v>44</v>
      </c>
      <c r="K30" s="22">
        <v>479</v>
      </c>
      <c r="L30" s="23">
        <v>1</v>
      </c>
      <c r="M30" s="27" t="s">
        <v>48</v>
      </c>
      <c r="N30" s="28">
        <v>27.5</v>
      </c>
      <c r="O30" s="28">
        <v>33.9</v>
      </c>
      <c r="P30" s="15">
        <v>68</v>
      </c>
      <c r="Q30" s="15">
        <v>84</v>
      </c>
      <c r="R30" s="29" t="s">
        <v>49</v>
      </c>
    </row>
    <row r="31" spans="1:18" ht="15" customHeight="1" x14ac:dyDescent="0.3">
      <c r="A31" s="21" t="s">
        <v>96</v>
      </c>
      <c r="B31" s="12">
        <v>76</v>
      </c>
      <c r="C31" s="12">
        <v>70</v>
      </c>
      <c r="D31" s="12">
        <v>74</v>
      </c>
      <c r="E31" s="12">
        <v>42</v>
      </c>
      <c r="F31" s="12">
        <v>43</v>
      </c>
      <c r="G31" s="12">
        <v>45</v>
      </c>
      <c r="H31" s="12">
        <v>46</v>
      </c>
      <c r="I31" s="12">
        <v>42</v>
      </c>
      <c r="J31" s="12">
        <v>42</v>
      </c>
      <c r="K31" s="22">
        <v>480</v>
      </c>
      <c r="L31" s="30"/>
      <c r="M31" s="24" t="s">
        <v>29</v>
      </c>
      <c r="N31" s="25">
        <v>26.9</v>
      </c>
      <c r="O31" s="25">
        <v>33.5</v>
      </c>
      <c r="P31" s="12">
        <v>66</v>
      </c>
      <c r="Q31" s="12">
        <v>85</v>
      </c>
      <c r="R31" s="26"/>
    </row>
    <row r="32" spans="1:18" ht="15" customHeight="1" x14ac:dyDescent="0.3">
      <c r="A32" s="21" t="s">
        <v>97</v>
      </c>
      <c r="B32" s="15">
        <v>72</v>
      </c>
      <c r="C32" s="15">
        <v>73</v>
      </c>
      <c r="D32" s="15">
        <v>72</v>
      </c>
      <c r="E32" s="15">
        <v>45</v>
      </c>
      <c r="F32" s="15">
        <v>44</v>
      </c>
      <c r="G32" s="15">
        <v>41</v>
      </c>
      <c r="H32" s="15">
        <v>46</v>
      </c>
      <c r="I32" s="15">
        <v>42</v>
      </c>
      <c r="J32" s="15">
        <v>43</v>
      </c>
      <c r="K32" s="22">
        <v>478</v>
      </c>
      <c r="L32" s="31"/>
      <c r="M32" s="27" t="s">
        <v>29</v>
      </c>
      <c r="N32" s="28">
        <v>27.1</v>
      </c>
      <c r="O32" s="28">
        <v>35.200000000000003</v>
      </c>
      <c r="P32" s="15">
        <v>71</v>
      </c>
      <c r="Q32" s="15">
        <v>83</v>
      </c>
      <c r="R32" s="29"/>
    </row>
    <row r="33" spans="1:18" ht="15" customHeight="1" x14ac:dyDescent="0.3">
      <c r="A33" s="21" t="s">
        <v>98</v>
      </c>
      <c r="B33" s="12">
        <v>75</v>
      </c>
      <c r="C33" s="12">
        <v>74</v>
      </c>
      <c r="D33" s="12">
        <v>70</v>
      </c>
      <c r="E33" s="12">
        <v>41</v>
      </c>
      <c r="F33" s="12">
        <v>42</v>
      </c>
      <c r="G33" s="12">
        <v>41</v>
      </c>
      <c r="H33" s="12">
        <v>45</v>
      </c>
      <c r="I33" s="12">
        <v>45</v>
      </c>
      <c r="J33" s="12">
        <v>45</v>
      </c>
      <c r="K33" s="22">
        <v>478</v>
      </c>
      <c r="L33" s="30"/>
      <c r="M33" s="24" t="s">
        <v>29</v>
      </c>
      <c r="N33" s="25">
        <v>26.8</v>
      </c>
      <c r="O33" s="25">
        <v>33.1</v>
      </c>
      <c r="P33" s="12">
        <v>67</v>
      </c>
      <c r="Q33" s="12">
        <v>81</v>
      </c>
      <c r="R33" s="26"/>
    </row>
    <row r="34" spans="1:18" ht="15" customHeight="1" x14ac:dyDescent="0.3">
      <c r="A34" s="21" t="s">
        <v>99</v>
      </c>
      <c r="B34" s="15">
        <v>70</v>
      </c>
      <c r="C34" s="15">
        <v>73</v>
      </c>
      <c r="D34" s="15">
        <v>73</v>
      </c>
      <c r="E34" s="15">
        <v>43</v>
      </c>
      <c r="F34" s="15">
        <v>42</v>
      </c>
      <c r="G34" s="15">
        <v>45</v>
      </c>
      <c r="H34" s="15">
        <v>46</v>
      </c>
      <c r="I34" s="15">
        <v>45</v>
      </c>
      <c r="J34" s="15">
        <v>44</v>
      </c>
      <c r="K34" s="22">
        <v>481</v>
      </c>
      <c r="L34" s="31"/>
      <c r="M34" s="27" t="s">
        <v>29</v>
      </c>
      <c r="N34" s="28">
        <v>26.4</v>
      </c>
      <c r="O34" s="28">
        <v>35.1</v>
      </c>
      <c r="P34" s="15">
        <v>72</v>
      </c>
      <c r="Q34" s="15">
        <v>88</v>
      </c>
      <c r="R34" s="29"/>
    </row>
    <row r="35" spans="1:18" ht="15" customHeight="1" x14ac:dyDescent="0.3">
      <c r="A35" s="21" t="s">
        <v>100</v>
      </c>
      <c r="B35" s="12">
        <v>70</v>
      </c>
      <c r="C35" s="12">
        <v>75</v>
      </c>
      <c r="D35" s="12">
        <v>73</v>
      </c>
      <c r="E35" s="12">
        <v>41</v>
      </c>
      <c r="F35" s="12">
        <v>41</v>
      </c>
      <c r="G35" s="12">
        <v>45</v>
      </c>
      <c r="H35" s="12">
        <v>42</v>
      </c>
      <c r="I35" s="12">
        <v>42</v>
      </c>
      <c r="J35" s="12">
        <v>42</v>
      </c>
      <c r="K35" s="22">
        <v>471</v>
      </c>
      <c r="L35" s="30"/>
      <c r="M35" s="24" t="s">
        <v>29</v>
      </c>
      <c r="N35" s="25">
        <v>26.3</v>
      </c>
      <c r="O35" s="25">
        <v>34.9</v>
      </c>
      <c r="P35" s="12">
        <v>67</v>
      </c>
      <c r="Q35" s="12">
        <v>89</v>
      </c>
      <c r="R35" s="26"/>
    </row>
    <row r="36" spans="1:18" ht="15" customHeight="1" x14ac:dyDescent="0.3">
      <c r="A36" s="21" t="s">
        <v>101</v>
      </c>
      <c r="B36" s="15">
        <v>76</v>
      </c>
      <c r="C36" s="15">
        <v>76</v>
      </c>
      <c r="D36" s="15">
        <v>73</v>
      </c>
      <c r="E36" s="15">
        <v>44</v>
      </c>
      <c r="F36" s="15">
        <v>42</v>
      </c>
      <c r="G36" s="15">
        <v>41</v>
      </c>
      <c r="H36" s="15">
        <v>45</v>
      </c>
      <c r="I36" s="15">
        <v>43</v>
      </c>
      <c r="J36" s="15">
        <v>42</v>
      </c>
      <c r="K36" s="22">
        <v>482</v>
      </c>
      <c r="L36" s="31"/>
      <c r="M36" s="27" t="s">
        <v>29</v>
      </c>
      <c r="N36" s="28">
        <v>27.3</v>
      </c>
      <c r="O36" s="28">
        <v>34</v>
      </c>
      <c r="P36" s="15">
        <v>69</v>
      </c>
      <c r="Q36" s="15">
        <v>86</v>
      </c>
      <c r="R36" s="29"/>
    </row>
    <row r="37" spans="1:18" ht="15" customHeight="1" x14ac:dyDescent="0.3">
      <c r="A37" s="21" t="s">
        <v>102</v>
      </c>
      <c r="B37" s="12">
        <v>76</v>
      </c>
      <c r="C37" s="12">
        <v>70</v>
      </c>
      <c r="D37" s="12">
        <v>73</v>
      </c>
      <c r="E37" s="12">
        <v>45</v>
      </c>
      <c r="F37" s="12">
        <v>43</v>
      </c>
      <c r="G37" s="12">
        <v>42</v>
      </c>
      <c r="H37" s="12">
        <v>44</v>
      </c>
      <c r="I37" s="12">
        <v>46</v>
      </c>
      <c r="J37" s="12">
        <v>46</v>
      </c>
      <c r="K37" s="22">
        <v>485</v>
      </c>
      <c r="L37" s="23">
        <v>1</v>
      </c>
      <c r="M37" s="24" t="s">
        <v>48</v>
      </c>
      <c r="N37" s="25">
        <v>27.9</v>
      </c>
      <c r="O37" s="25">
        <v>32.1</v>
      </c>
      <c r="P37" s="12">
        <v>71</v>
      </c>
      <c r="Q37" s="12">
        <v>86</v>
      </c>
      <c r="R37" s="26" t="s">
        <v>49</v>
      </c>
    </row>
    <row r="38" spans="1:18" ht="15" customHeight="1" x14ac:dyDescent="0.3">
      <c r="A38" s="21" t="s">
        <v>103</v>
      </c>
      <c r="B38" s="15">
        <v>73</v>
      </c>
      <c r="C38" s="15">
        <v>76</v>
      </c>
      <c r="D38" s="15">
        <v>72</v>
      </c>
      <c r="E38" s="15">
        <v>44</v>
      </c>
      <c r="F38" s="15">
        <v>43</v>
      </c>
      <c r="G38" s="15">
        <v>45</v>
      </c>
      <c r="H38" s="15">
        <v>44</v>
      </c>
      <c r="I38" s="15">
        <v>43</v>
      </c>
      <c r="J38" s="15">
        <v>46</v>
      </c>
      <c r="K38" s="22">
        <v>486</v>
      </c>
      <c r="L38" s="31"/>
      <c r="M38" s="27" t="s">
        <v>29</v>
      </c>
      <c r="N38" s="28">
        <v>27.6</v>
      </c>
      <c r="O38" s="28">
        <v>32.1</v>
      </c>
      <c r="P38" s="15">
        <v>71</v>
      </c>
      <c r="Q38" s="15">
        <v>81</v>
      </c>
      <c r="R38" s="29"/>
    </row>
    <row r="39" spans="1:18" ht="19.5" customHeight="1" x14ac:dyDescent="0.3">
      <c r="A39" s="16" t="s">
        <v>62</v>
      </c>
      <c r="B39" s="18">
        <v>2339</v>
      </c>
      <c r="C39" s="18">
        <v>2337</v>
      </c>
      <c r="D39" s="18">
        <v>2339</v>
      </c>
      <c r="E39" s="18">
        <v>1369</v>
      </c>
      <c r="F39" s="18">
        <v>1370</v>
      </c>
      <c r="G39" s="18">
        <v>1383</v>
      </c>
      <c r="H39" s="18">
        <v>1416</v>
      </c>
      <c r="I39" s="18">
        <v>1397</v>
      </c>
      <c r="J39" s="18">
        <v>1418</v>
      </c>
      <c r="K39" s="18">
        <v>15368</v>
      </c>
      <c r="L39" s="19">
        <v>5</v>
      </c>
      <c r="M39" s="33" t="s">
        <v>63</v>
      </c>
      <c r="N39" s="33" t="s">
        <v>63</v>
      </c>
      <c r="O39" s="33" t="s">
        <v>63</v>
      </c>
      <c r="P39" s="33" t="s">
        <v>63</v>
      </c>
      <c r="Q39" s="33" t="s">
        <v>63</v>
      </c>
      <c r="R39" s="33" t="s">
        <v>63</v>
      </c>
    </row>
    <row r="41" spans="1:18" ht="15" customHeight="1" x14ac:dyDescent="0.3">
      <c r="A41" s="2" t="s">
        <v>64</v>
      </c>
      <c r="B41" s="2"/>
      <c r="C41" s="2"/>
      <c r="D41" s="2"/>
      <c r="E41" s="2"/>
    </row>
    <row r="42" spans="1:18" ht="15" customHeight="1" x14ac:dyDescent="0.3">
      <c r="A42" s="20" t="s">
        <v>65</v>
      </c>
      <c r="B42" s="35">
        <v>32</v>
      </c>
    </row>
    <row r="43" spans="1:18" ht="15" customHeight="1" x14ac:dyDescent="0.3">
      <c r="A43" s="20" t="s">
        <v>66</v>
      </c>
      <c r="B43" s="36">
        <v>15368</v>
      </c>
    </row>
    <row r="44" spans="1:18" ht="15" customHeight="1" x14ac:dyDescent="0.3">
      <c r="A44" s="20" t="s">
        <v>67</v>
      </c>
      <c r="B44" s="37">
        <v>5</v>
      </c>
    </row>
    <row r="45" spans="1:18" ht="15" customHeight="1" x14ac:dyDescent="0.3">
      <c r="A45" s="20" t="s">
        <v>68</v>
      </c>
      <c r="B45" s="38">
        <v>480.2</v>
      </c>
    </row>
    <row r="48" spans="1:18" ht="15" customHeight="1" x14ac:dyDescent="0.3">
      <c r="A48" s="1" t="s">
        <v>69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16">
    <mergeCell ref="A41:E41"/>
    <mergeCell ref="A48:R48"/>
    <mergeCell ref="A1:R1"/>
    <mergeCell ref="A2:R2"/>
    <mergeCell ref="A3:D3"/>
    <mergeCell ref="E3:R3"/>
    <mergeCell ref="A5:A6"/>
    <mergeCell ref="B5:D5"/>
    <mergeCell ref="E5:G5"/>
    <mergeCell ref="H5:J5"/>
    <mergeCell ref="K5:K6"/>
    <mergeCell ref="L5:L6"/>
    <mergeCell ref="M5:M6"/>
    <mergeCell ref="N5:O5"/>
    <mergeCell ref="P5:Q5"/>
    <mergeCell ref="R5:R6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topLeftCell="A5" zoomScale="59" zoomScaleNormal="97" workbookViewId="0">
      <selection activeCell="N38" sqref="N38"/>
    </sheetView>
  </sheetViews>
  <sheetFormatPr defaultColWidth="10.44140625" defaultRowHeight="14.4" x14ac:dyDescent="0.3"/>
  <cols>
    <col min="1" max="1" width="14" customWidth="1"/>
    <col min="2" max="2" width="7" customWidth="1"/>
    <col min="11" max="11" width="9" customWidth="1"/>
    <col min="12" max="12" width="8" customWidth="1"/>
    <col min="13" max="13" width="7" customWidth="1"/>
    <col min="18" max="18" width="14" customWidth="1"/>
  </cols>
  <sheetData>
    <row r="1" spans="1:18" ht="21.75" customHeight="1" x14ac:dyDescent="0.3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" customHeight="1" x14ac:dyDescent="0.3">
      <c r="A2" s="8" t="s">
        <v>104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customHeight="1" x14ac:dyDescent="0.3">
      <c r="A3" s="7" t="s">
        <v>11</v>
      </c>
      <c r="B3" s="7"/>
      <c r="C3" s="7"/>
      <c r="D3" s="7"/>
      <c r="E3" s="6" t="s">
        <v>105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5" spans="1:18" ht="25.5" customHeight="1" x14ac:dyDescent="0.3">
      <c r="A5" s="5" t="s">
        <v>13</v>
      </c>
      <c r="B5" s="4" t="s">
        <v>14</v>
      </c>
      <c r="C5" s="4"/>
      <c r="D5" s="4"/>
      <c r="E5" s="4" t="s">
        <v>15</v>
      </c>
      <c r="F5" s="4"/>
      <c r="G5" s="4"/>
      <c r="H5" s="4" t="s">
        <v>16</v>
      </c>
      <c r="I5" s="4"/>
      <c r="J5" s="4"/>
      <c r="K5" s="5" t="s">
        <v>17</v>
      </c>
      <c r="L5" s="5" t="s">
        <v>18</v>
      </c>
      <c r="M5" s="5" t="s">
        <v>19</v>
      </c>
      <c r="N5" s="4" t="s">
        <v>20</v>
      </c>
      <c r="O5" s="4"/>
      <c r="P5" s="4" t="s">
        <v>21</v>
      </c>
      <c r="Q5" s="4"/>
      <c r="R5" s="5" t="s">
        <v>22</v>
      </c>
    </row>
    <row r="6" spans="1:18" ht="18" customHeight="1" x14ac:dyDescent="0.3">
      <c r="A6" s="5"/>
      <c r="B6" s="10" t="s">
        <v>23</v>
      </c>
      <c r="C6" s="10" t="s">
        <v>24</v>
      </c>
      <c r="D6" s="10" t="s">
        <v>25</v>
      </c>
      <c r="E6" s="10" t="s">
        <v>23</v>
      </c>
      <c r="F6" s="10" t="s">
        <v>24</v>
      </c>
      <c r="G6" s="10" t="s">
        <v>25</v>
      </c>
      <c r="H6" s="10" t="s">
        <v>23</v>
      </c>
      <c r="I6" s="10" t="s">
        <v>24</v>
      </c>
      <c r="J6" s="10" t="s">
        <v>25</v>
      </c>
      <c r="K6" s="5"/>
      <c r="L6" s="5"/>
      <c r="M6" s="5"/>
      <c r="N6" s="10" t="s">
        <v>26</v>
      </c>
      <c r="O6" s="10" t="s">
        <v>27</v>
      </c>
      <c r="P6" s="10" t="s">
        <v>26</v>
      </c>
      <c r="Q6" s="10" t="s">
        <v>27</v>
      </c>
      <c r="R6" s="5"/>
    </row>
    <row r="7" spans="1:18" ht="15" customHeight="1" x14ac:dyDescent="0.3">
      <c r="A7" s="21" t="s">
        <v>106</v>
      </c>
      <c r="B7" s="12">
        <v>73</v>
      </c>
      <c r="C7" s="12">
        <v>68</v>
      </c>
      <c r="D7" s="12">
        <v>70</v>
      </c>
      <c r="E7" s="12">
        <v>42</v>
      </c>
      <c r="F7" s="12">
        <v>44</v>
      </c>
      <c r="G7" s="12">
        <v>44</v>
      </c>
      <c r="H7" s="12">
        <v>41</v>
      </c>
      <c r="I7" s="12">
        <v>43</v>
      </c>
      <c r="J7" s="12">
        <v>45</v>
      </c>
      <c r="K7" s="22">
        <v>470</v>
      </c>
      <c r="L7" s="23"/>
      <c r="M7" s="24" t="s">
        <v>29</v>
      </c>
      <c r="N7" s="25">
        <v>32.1</v>
      </c>
      <c r="O7" s="25">
        <v>36.4</v>
      </c>
      <c r="P7" s="12">
        <v>33</v>
      </c>
      <c r="Q7" s="12">
        <v>36.1</v>
      </c>
      <c r="R7" s="26"/>
    </row>
    <row r="8" spans="1:18" ht="15" customHeight="1" x14ac:dyDescent="0.3">
      <c r="A8" s="21" t="s">
        <v>107</v>
      </c>
      <c r="B8" s="12">
        <v>70</v>
      </c>
      <c r="C8" s="12">
        <v>73</v>
      </c>
      <c r="D8" s="12">
        <v>72</v>
      </c>
      <c r="E8" s="12">
        <v>42</v>
      </c>
      <c r="F8" s="12">
        <v>44</v>
      </c>
      <c r="G8" s="12">
        <v>45</v>
      </c>
      <c r="H8" s="12">
        <v>41</v>
      </c>
      <c r="I8" s="12">
        <v>45</v>
      </c>
      <c r="J8" s="12">
        <v>44</v>
      </c>
      <c r="K8" s="22">
        <v>476</v>
      </c>
      <c r="L8" s="23"/>
      <c r="M8" s="24" t="s">
        <v>29</v>
      </c>
      <c r="N8" s="25">
        <v>32.700000000000003</v>
      </c>
      <c r="O8" s="25">
        <v>36.299999999999997</v>
      </c>
      <c r="P8" s="12">
        <v>33.9</v>
      </c>
      <c r="Q8" s="12">
        <v>36.700000000000003</v>
      </c>
      <c r="R8" s="26"/>
    </row>
    <row r="9" spans="1:18" ht="15" customHeight="1" x14ac:dyDescent="0.3">
      <c r="A9" s="21" t="s">
        <v>108</v>
      </c>
      <c r="B9" s="12">
        <v>69</v>
      </c>
      <c r="C9" s="12">
        <v>69</v>
      </c>
      <c r="D9" s="12">
        <v>75</v>
      </c>
      <c r="E9" s="12">
        <v>44</v>
      </c>
      <c r="F9" s="12">
        <v>45</v>
      </c>
      <c r="G9" s="12">
        <v>44</v>
      </c>
      <c r="H9" s="12">
        <v>43</v>
      </c>
      <c r="I9" s="12">
        <v>48</v>
      </c>
      <c r="J9" s="12">
        <v>43</v>
      </c>
      <c r="K9" s="22">
        <v>480</v>
      </c>
      <c r="L9" s="23"/>
      <c r="M9" s="24" t="s">
        <v>29</v>
      </c>
      <c r="N9" s="25">
        <v>33.1</v>
      </c>
      <c r="O9" s="25">
        <v>35.700000000000003</v>
      </c>
      <c r="P9" s="12">
        <v>33.200000000000003</v>
      </c>
      <c r="Q9" s="12">
        <v>37.700000000000003</v>
      </c>
      <c r="R9" s="26"/>
    </row>
    <row r="10" spans="1:18" ht="15" customHeight="1" x14ac:dyDescent="0.3">
      <c r="A10" s="21" t="s">
        <v>109</v>
      </c>
      <c r="B10" s="12">
        <v>73</v>
      </c>
      <c r="C10" s="12">
        <v>74</v>
      </c>
      <c r="D10" s="12">
        <v>68</v>
      </c>
      <c r="E10" s="12">
        <v>44</v>
      </c>
      <c r="F10" s="12">
        <v>42</v>
      </c>
      <c r="G10" s="12">
        <v>44</v>
      </c>
      <c r="H10" s="12">
        <v>44</v>
      </c>
      <c r="I10" s="12">
        <v>41</v>
      </c>
      <c r="J10" s="12">
        <v>42</v>
      </c>
      <c r="K10" s="22">
        <v>472</v>
      </c>
      <c r="L10" s="23"/>
      <c r="M10" s="24" t="s">
        <v>29</v>
      </c>
      <c r="N10" s="25">
        <v>33.299999999999997</v>
      </c>
      <c r="O10" s="25">
        <v>37.1</v>
      </c>
      <c r="P10" s="12">
        <v>33.4</v>
      </c>
      <c r="Q10" s="12">
        <v>37.700000000000003</v>
      </c>
      <c r="R10" s="26"/>
    </row>
    <row r="11" spans="1:18" ht="15" customHeight="1" x14ac:dyDescent="0.3">
      <c r="A11" s="21" t="s">
        <v>110</v>
      </c>
      <c r="B11" s="12">
        <v>70</v>
      </c>
      <c r="C11" s="12">
        <v>75</v>
      </c>
      <c r="D11" s="12">
        <v>73</v>
      </c>
      <c r="E11" s="12">
        <v>42</v>
      </c>
      <c r="F11" s="12">
        <v>42</v>
      </c>
      <c r="G11" s="12">
        <v>43</v>
      </c>
      <c r="H11" s="12">
        <v>42</v>
      </c>
      <c r="I11" s="12">
        <v>43</v>
      </c>
      <c r="J11" s="12">
        <v>46</v>
      </c>
      <c r="K11" s="22">
        <v>476</v>
      </c>
      <c r="L11" s="23"/>
      <c r="M11" s="24" t="s">
        <v>29</v>
      </c>
      <c r="N11" s="25">
        <v>33.4</v>
      </c>
      <c r="O11" s="25">
        <v>36.799999999999997</v>
      </c>
      <c r="P11" s="12">
        <v>33.4</v>
      </c>
      <c r="Q11" s="12">
        <v>37.700000000000003</v>
      </c>
      <c r="R11" s="26"/>
    </row>
    <row r="12" spans="1:18" ht="15" customHeight="1" x14ac:dyDescent="0.3">
      <c r="A12" s="21" t="s">
        <v>111</v>
      </c>
      <c r="B12" s="12">
        <v>74</v>
      </c>
      <c r="C12" s="12">
        <v>70</v>
      </c>
      <c r="D12" s="12">
        <v>68</v>
      </c>
      <c r="E12" s="12">
        <v>42</v>
      </c>
      <c r="F12" s="12">
        <v>44</v>
      </c>
      <c r="G12" s="12">
        <v>45</v>
      </c>
      <c r="H12" s="12">
        <v>45</v>
      </c>
      <c r="I12" s="12">
        <v>45</v>
      </c>
      <c r="J12" s="12">
        <v>42</v>
      </c>
      <c r="K12" s="22">
        <v>475</v>
      </c>
      <c r="L12" s="23"/>
      <c r="M12" s="24" t="s">
        <v>29</v>
      </c>
      <c r="N12" s="25">
        <v>33.1</v>
      </c>
      <c r="O12" s="25">
        <v>36.200000000000003</v>
      </c>
      <c r="P12" s="12">
        <v>33.799999999999997</v>
      </c>
      <c r="Q12" s="12">
        <v>36.9</v>
      </c>
      <c r="R12" s="26"/>
    </row>
    <row r="13" spans="1:18" ht="15" customHeight="1" x14ac:dyDescent="0.3">
      <c r="A13" s="21" t="s">
        <v>112</v>
      </c>
      <c r="B13" s="12">
        <v>70</v>
      </c>
      <c r="C13" s="12">
        <v>70</v>
      </c>
      <c r="D13" s="12">
        <v>72</v>
      </c>
      <c r="E13" s="12">
        <v>42</v>
      </c>
      <c r="F13" s="12">
        <v>44</v>
      </c>
      <c r="G13" s="12">
        <v>45</v>
      </c>
      <c r="H13" s="12">
        <v>43</v>
      </c>
      <c r="I13" s="12">
        <v>46</v>
      </c>
      <c r="J13" s="12">
        <v>42</v>
      </c>
      <c r="K13" s="22">
        <v>474</v>
      </c>
      <c r="L13" s="23"/>
      <c r="M13" s="24" t="s">
        <v>29</v>
      </c>
      <c r="N13" s="25">
        <v>33</v>
      </c>
      <c r="O13" s="25">
        <v>38.1</v>
      </c>
      <c r="P13" s="12">
        <v>33</v>
      </c>
      <c r="Q13" s="12">
        <v>71.099999999999994</v>
      </c>
      <c r="R13" s="26"/>
    </row>
    <row r="14" spans="1:18" ht="15" customHeight="1" x14ac:dyDescent="0.3">
      <c r="A14" s="21" t="s">
        <v>113</v>
      </c>
      <c r="B14" s="12">
        <v>73</v>
      </c>
      <c r="C14" s="12">
        <v>74</v>
      </c>
      <c r="D14" s="12">
        <v>71</v>
      </c>
      <c r="E14" s="12">
        <v>41</v>
      </c>
      <c r="F14" s="12">
        <v>43</v>
      </c>
      <c r="G14" s="12">
        <v>42</v>
      </c>
      <c r="H14" s="12">
        <v>43</v>
      </c>
      <c r="I14" s="12">
        <v>44</v>
      </c>
      <c r="J14" s="12">
        <v>45</v>
      </c>
      <c r="K14" s="22">
        <v>476</v>
      </c>
      <c r="L14" s="23"/>
      <c r="M14" s="24" t="s">
        <v>29</v>
      </c>
      <c r="N14" s="25">
        <v>34.200000000000003</v>
      </c>
      <c r="O14" s="25">
        <v>37.1</v>
      </c>
      <c r="P14" s="12">
        <v>33.799999999999997</v>
      </c>
      <c r="Q14" s="12">
        <v>77.400000000000006</v>
      </c>
      <c r="R14" s="26"/>
    </row>
    <row r="15" spans="1:18" ht="15" customHeight="1" x14ac:dyDescent="0.3">
      <c r="A15" s="21" t="s">
        <v>114</v>
      </c>
      <c r="B15" s="12">
        <v>70</v>
      </c>
      <c r="C15" s="12">
        <v>74</v>
      </c>
      <c r="D15" s="12">
        <v>72</v>
      </c>
      <c r="E15" s="12">
        <v>41</v>
      </c>
      <c r="F15" s="12">
        <v>43</v>
      </c>
      <c r="G15" s="12">
        <v>44</v>
      </c>
      <c r="H15" s="12">
        <v>43</v>
      </c>
      <c r="I15" s="12">
        <v>45</v>
      </c>
      <c r="J15" s="12">
        <v>45</v>
      </c>
      <c r="K15" s="22">
        <v>477</v>
      </c>
      <c r="L15" s="23"/>
      <c r="M15" s="24" t="s">
        <v>29</v>
      </c>
      <c r="N15" s="25">
        <v>32.9</v>
      </c>
      <c r="O15" s="25">
        <v>36.9</v>
      </c>
      <c r="P15" s="12">
        <v>33.200000000000003</v>
      </c>
      <c r="Q15" s="12">
        <v>73.5</v>
      </c>
      <c r="R15" s="26"/>
    </row>
    <row r="16" spans="1:18" ht="15" customHeight="1" x14ac:dyDescent="0.3">
      <c r="A16" s="21" t="s">
        <v>115</v>
      </c>
      <c r="B16" s="12">
        <v>73</v>
      </c>
      <c r="C16" s="12">
        <v>73</v>
      </c>
      <c r="D16" s="12">
        <v>73</v>
      </c>
      <c r="E16" s="12">
        <v>43</v>
      </c>
      <c r="F16" s="12">
        <v>43</v>
      </c>
      <c r="G16" s="12">
        <v>45</v>
      </c>
      <c r="H16" s="12">
        <v>47</v>
      </c>
      <c r="I16" s="12">
        <v>42</v>
      </c>
      <c r="J16" s="12">
        <v>46</v>
      </c>
      <c r="K16" s="22">
        <v>485</v>
      </c>
      <c r="L16" s="23"/>
      <c r="M16" s="24" t="s">
        <v>29</v>
      </c>
      <c r="N16" s="25">
        <v>33.4</v>
      </c>
      <c r="O16" s="25">
        <v>37.200000000000003</v>
      </c>
      <c r="P16" s="12">
        <v>34.1</v>
      </c>
      <c r="Q16" s="12">
        <v>74.599999999999994</v>
      </c>
      <c r="R16" s="26"/>
    </row>
    <row r="17" spans="1:18" ht="15" customHeight="1" x14ac:dyDescent="0.3">
      <c r="A17" s="21" t="s">
        <v>116</v>
      </c>
      <c r="B17" s="12">
        <v>70</v>
      </c>
      <c r="C17" s="12">
        <v>68</v>
      </c>
      <c r="D17" s="12">
        <v>75</v>
      </c>
      <c r="E17" s="12">
        <v>45</v>
      </c>
      <c r="F17" s="12">
        <v>41</v>
      </c>
      <c r="G17" s="12">
        <v>45</v>
      </c>
      <c r="H17" s="12">
        <v>41</v>
      </c>
      <c r="I17" s="12">
        <v>44</v>
      </c>
      <c r="J17" s="12">
        <v>44</v>
      </c>
      <c r="K17" s="22">
        <v>473</v>
      </c>
      <c r="L17" s="23"/>
      <c r="M17" s="24" t="s">
        <v>29</v>
      </c>
      <c r="N17" s="25">
        <v>33.1</v>
      </c>
      <c r="O17" s="25">
        <v>37.200000000000003</v>
      </c>
      <c r="P17" s="12">
        <v>33</v>
      </c>
      <c r="Q17" s="12">
        <v>70.099999999999994</v>
      </c>
      <c r="R17" s="26"/>
    </row>
    <row r="18" spans="1:18" ht="15" customHeight="1" x14ac:dyDescent="0.3">
      <c r="A18" s="21" t="s">
        <v>117</v>
      </c>
      <c r="B18" s="12">
        <v>75</v>
      </c>
      <c r="C18" s="12">
        <v>71</v>
      </c>
      <c r="D18" s="12">
        <v>70</v>
      </c>
      <c r="E18" s="12">
        <v>43</v>
      </c>
      <c r="F18" s="12">
        <v>41</v>
      </c>
      <c r="G18" s="12">
        <v>44</v>
      </c>
      <c r="H18" s="12">
        <v>42</v>
      </c>
      <c r="I18" s="12">
        <v>45</v>
      </c>
      <c r="J18" s="12">
        <v>45</v>
      </c>
      <c r="K18" s="22">
        <v>476</v>
      </c>
      <c r="L18" s="23"/>
      <c r="M18" s="24" t="s">
        <v>29</v>
      </c>
      <c r="N18" s="25">
        <v>32.700000000000003</v>
      </c>
      <c r="O18" s="25">
        <v>37.4</v>
      </c>
      <c r="P18" s="12">
        <v>32.799999999999997</v>
      </c>
      <c r="Q18" s="12">
        <v>72.3</v>
      </c>
      <c r="R18" s="26"/>
    </row>
    <row r="19" spans="1:18" ht="15" customHeight="1" x14ac:dyDescent="0.3">
      <c r="A19" s="21" t="s">
        <v>118</v>
      </c>
      <c r="B19" s="12">
        <v>71</v>
      </c>
      <c r="C19" s="12">
        <v>73</v>
      </c>
      <c r="D19" s="12">
        <v>70</v>
      </c>
      <c r="E19" s="12">
        <v>42</v>
      </c>
      <c r="F19" s="12">
        <v>46</v>
      </c>
      <c r="G19" s="12">
        <v>44</v>
      </c>
      <c r="H19" s="12">
        <v>42</v>
      </c>
      <c r="I19" s="12">
        <v>43</v>
      </c>
      <c r="J19" s="12">
        <v>44</v>
      </c>
      <c r="K19" s="22">
        <f>SUM(B19:J19)</f>
        <v>475</v>
      </c>
      <c r="L19" s="23"/>
      <c r="M19" s="24" t="s">
        <v>29</v>
      </c>
      <c r="N19" s="25">
        <v>33.4</v>
      </c>
      <c r="O19" s="25">
        <v>37.1</v>
      </c>
      <c r="P19" s="12">
        <v>31.9</v>
      </c>
      <c r="Q19" s="12">
        <v>70.2</v>
      </c>
      <c r="R19" s="26"/>
    </row>
    <row r="20" spans="1:18" ht="19.5" customHeight="1" x14ac:dyDescent="0.3">
      <c r="A20" s="21" t="s">
        <v>119</v>
      </c>
      <c r="B20" s="12">
        <v>69</v>
      </c>
      <c r="C20" s="12">
        <v>75</v>
      </c>
      <c r="D20" s="12">
        <v>76</v>
      </c>
      <c r="E20" s="12">
        <v>43</v>
      </c>
      <c r="F20" s="12">
        <v>45</v>
      </c>
      <c r="G20" s="12">
        <v>44</v>
      </c>
      <c r="H20" s="12">
        <v>42</v>
      </c>
      <c r="I20" s="12">
        <v>41</v>
      </c>
      <c r="J20" s="12">
        <v>45</v>
      </c>
      <c r="K20" s="22">
        <v>480</v>
      </c>
      <c r="L20" s="23"/>
      <c r="M20" s="24" t="s">
        <v>29</v>
      </c>
      <c r="N20" s="25">
        <v>33.299999999999997</v>
      </c>
      <c r="O20" s="25">
        <v>37.700000000000003</v>
      </c>
      <c r="P20" s="12">
        <v>33.4</v>
      </c>
      <c r="Q20" s="12">
        <v>71.3</v>
      </c>
      <c r="R20" s="26"/>
    </row>
    <row r="21" spans="1:18" x14ac:dyDescent="0.3">
      <c r="A21" s="21" t="s">
        <v>120</v>
      </c>
      <c r="B21" s="12">
        <v>76</v>
      </c>
      <c r="C21" s="12">
        <v>71</v>
      </c>
      <c r="D21" s="12">
        <v>69</v>
      </c>
      <c r="E21" s="12">
        <v>42</v>
      </c>
      <c r="F21" s="12">
        <v>45</v>
      </c>
      <c r="G21" s="12">
        <v>43</v>
      </c>
      <c r="H21" s="12">
        <v>42</v>
      </c>
      <c r="I21" s="12">
        <v>43</v>
      </c>
      <c r="J21" s="12">
        <v>43</v>
      </c>
      <c r="K21" s="22">
        <v>474</v>
      </c>
      <c r="L21" s="23"/>
      <c r="M21" s="24" t="s">
        <v>29</v>
      </c>
      <c r="N21" s="25">
        <v>32.9</v>
      </c>
      <c r="O21" s="25">
        <v>38.9</v>
      </c>
      <c r="P21" s="12">
        <v>36.1</v>
      </c>
      <c r="Q21" s="12">
        <v>73.099999999999994</v>
      </c>
      <c r="R21" s="26"/>
    </row>
    <row r="22" spans="1:18" ht="15" customHeight="1" x14ac:dyDescent="0.3">
      <c r="A22" s="21" t="s">
        <v>121</v>
      </c>
      <c r="B22" s="12">
        <v>75</v>
      </c>
      <c r="C22" s="12">
        <v>72</v>
      </c>
      <c r="D22" s="12">
        <v>68</v>
      </c>
      <c r="E22" s="12">
        <v>46</v>
      </c>
      <c r="F22" s="12">
        <v>44</v>
      </c>
      <c r="G22" s="12">
        <v>45</v>
      </c>
      <c r="H22" s="12">
        <v>45</v>
      </c>
      <c r="I22" s="12">
        <v>45</v>
      </c>
      <c r="J22" s="12">
        <v>42</v>
      </c>
      <c r="K22" s="22">
        <v>482</v>
      </c>
      <c r="L22" s="23"/>
      <c r="M22" s="24" t="s">
        <v>29</v>
      </c>
      <c r="N22" s="25">
        <v>33.6</v>
      </c>
      <c r="O22" s="25">
        <v>36.1</v>
      </c>
      <c r="P22" s="12">
        <v>39.1</v>
      </c>
      <c r="Q22" s="12">
        <v>74.2</v>
      </c>
      <c r="R22" s="26"/>
    </row>
    <row r="23" spans="1:18" ht="15" customHeight="1" x14ac:dyDescent="0.3">
      <c r="A23" s="21" t="s">
        <v>122</v>
      </c>
      <c r="B23" s="12">
        <v>71</v>
      </c>
      <c r="C23" s="12">
        <v>76</v>
      </c>
      <c r="D23" s="12">
        <v>70</v>
      </c>
      <c r="E23" s="12">
        <v>45</v>
      </c>
      <c r="F23" s="12">
        <v>43</v>
      </c>
      <c r="G23" s="12">
        <v>43</v>
      </c>
      <c r="H23" s="12">
        <v>45</v>
      </c>
      <c r="I23" s="12">
        <v>46</v>
      </c>
      <c r="J23" s="12">
        <v>43</v>
      </c>
      <c r="K23" s="22">
        <v>482</v>
      </c>
      <c r="L23" s="23"/>
      <c r="M23" s="24" t="s">
        <v>29</v>
      </c>
      <c r="N23" s="25">
        <v>32.200000000000003</v>
      </c>
      <c r="O23" s="25">
        <v>36.4</v>
      </c>
      <c r="P23" s="12">
        <v>37.200000000000003</v>
      </c>
      <c r="Q23" s="12">
        <v>73</v>
      </c>
      <c r="R23" s="26"/>
    </row>
    <row r="24" spans="1:18" ht="15" customHeight="1" x14ac:dyDescent="0.3">
      <c r="A24" s="21" t="s">
        <v>123</v>
      </c>
      <c r="B24" s="12">
        <v>73</v>
      </c>
      <c r="C24" s="12">
        <v>72</v>
      </c>
      <c r="D24" s="12">
        <v>74</v>
      </c>
      <c r="E24" s="12">
        <v>41</v>
      </c>
      <c r="F24" s="12">
        <v>44</v>
      </c>
      <c r="G24" s="12">
        <v>44</v>
      </c>
      <c r="H24" s="12">
        <v>43</v>
      </c>
      <c r="I24" s="12">
        <v>44</v>
      </c>
      <c r="J24" s="12">
        <v>43</v>
      </c>
      <c r="K24" s="22">
        <f>SUM(B24:J24)</f>
        <v>478</v>
      </c>
      <c r="L24" s="23"/>
      <c r="M24" s="24" t="s">
        <v>29</v>
      </c>
      <c r="N24" s="25">
        <v>33.9</v>
      </c>
      <c r="O24" s="25">
        <v>36.4</v>
      </c>
      <c r="P24" s="12">
        <v>33.9</v>
      </c>
      <c r="Q24" s="12">
        <v>75</v>
      </c>
      <c r="R24" s="26"/>
    </row>
    <row r="25" spans="1:18" ht="15" customHeight="1" x14ac:dyDescent="0.3">
      <c r="A25" s="21" t="s">
        <v>124</v>
      </c>
      <c r="B25" s="12">
        <v>70</v>
      </c>
      <c r="C25" s="12">
        <v>69</v>
      </c>
      <c r="D25" s="12">
        <v>75</v>
      </c>
      <c r="E25" s="12">
        <v>41</v>
      </c>
      <c r="F25" s="12">
        <v>42</v>
      </c>
      <c r="G25" s="12">
        <v>45</v>
      </c>
      <c r="H25" s="12">
        <v>44</v>
      </c>
      <c r="I25" s="12">
        <v>44</v>
      </c>
      <c r="J25" s="12">
        <v>46</v>
      </c>
      <c r="K25" s="22">
        <v>476</v>
      </c>
      <c r="L25" s="23"/>
      <c r="M25" s="24" t="s">
        <v>29</v>
      </c>
      <c r="N25" s="25">
        <v>32.1</v>
      </c>
      <c r="O25" s="25">
        <v>36.4</v>
      </c>
      <c r="P25" s="12">
        <v>32.5</v>
      </c>
      <c r="Q25" s="12">
        <v>77</v>
      </c>
      <c r="R25" s="26"/>
    </row>
    <row r="26" spans="1:18" ht="15" customHeight="1" x14ac:dyDescent="0.3">
      <c r="A26" s="21" t="s">
        <v>125</v>
      </c>
      <c r="B26" s="12">
        <v>71</v>
      </c>
      <c r="C26" s="12">
        <v>73</v>
      </c>
      <c r="D26" s="12">
        <v>70</v>
      </c>
      <c r="E26" s="12">
        <v>42</v>
      </c>
      <c r="F26" s="12">
        <v>44</v>
      </c>
      <c r="G26" s="12">
        <v>44</v>
      </c>
      <c r="H26" s="12">
        <v>46</v>
      </c>
      <c r="I26" s="12">
        <v>44</v>
      </c>
      <c r="J26" s="12">
        <v>43</v>
      </c>
      <c r="K26" s="22">
        <f>SUM(B26:J26)</f>
        <v>477</v>
      </c>
      <c r="L26" s="23"/>
      <c r="M26" s="24" t="s">
        <v>29</v>
      </c>
      <c r="N26" s="25">
        <v>32</v>
      </c>
      <c r="O26" s="25">
        <v>37.6</v>
      </c>
      <c r="P26" s="12">
        <v>33.6</v>
      </c>
      <c r="Q26" s="12">
        <v>76</v>
      </c>
      <c r="R26" s="26"/>
    </row>
    <row r="27" spans="1:18" x14ac:dyDescent="0.3">
      <c r="A27" s="21" t="s">
        <v>126</v>
      </c>
      <c r="B27" s="12">
        <v>75</v>
      </c>
      <c r="C27" s="12">
        <v>71</v>
      </c>
      <c r="D27" s="12">
        <v>71</v>
      </c>
      <c r="E27" s="12">
        <v>42</v>
      </c>
      <c r="F27" s="12">
        <v>45</v>
      </c>
      <c r="G27" s="12">
        <v>44</v>
      </c>
      <c r="H27" s="12">
        <v>42</v>
      </c>
      <c r="I27" s="12">
        <v>46</v>
      </c>
      <c r="J27" s="12">
        <v>44</v>
      </c>
      <c r="K27" s="22">
        <v>480</v>
      </c>
      <c r="L27" s="23"/>
      <c r="M27" s="24" t="s">
        <v>29</v>
      </c>
      <c r="N27" s="25">
        <v>33.299999999999997</v>
      </c>
      <c r="O27" s="25">
        <v>36.5</v>
      </c>
      <c r="P27" s="12">
        <v>32.799999999999997</v>
      </c>
      <c r="Q27" s="12">
        <v>75</v>
      </c>
      <c r="R27" s="26"/>
    </row>
    <row r="28" spans="1:18" x14ac:dyDescent="0.3">
      <c r="A28" s="21" t="s">
        <v>127</v>
      </c>
      <c r="B28" s="12">
        <v>76</v>
      </c>
      <c r="C28" s="12">
        <v>69</v>
      </c>
      <c r="D28" s="12">
        <v>69</v>
      </c>
      <c r="E28" s="12">
        <v>41</v>
      </c>
      <c r="F28" s="12">
        <v>43</v>
      </c>
      <c r="G28" s="12">
        <v>42</v>
      </c>
      <c r="H28" s="12">
        <v>44</v>
      </c>
      <c r="I28" s="12">
        <v>44</v>
      </c>
      <c r="J28" s="12">
        <v>42</v>
      </c>
      <c r="K28" s="22">
        <v>470</v>
      </c>
      <c r="L28" s="23"/>
      <c r="M28" s="24" t="s">
        <v>48</v>
      </c>
      <c r="N28" s="25">
        <v>33.1</v>
      </c>
      <c r="O28" s="25">
        <v>36.9</v>
      </c>
      <c r="P28" s="12">
        <v>32.4</v>
      </c>
      <c r="Q28" s="12">
        <v>73</v>
      </c>
      <c r="R28" s="26"/>
    </row>
    <row r="29" spans="1:18" ht="15" customHeight="1" x14ac:dyDescent="0.3">
      <c r="A29" s="21" t="s">
        <v>128</v>
      </c>
      <c r="B29" s="12">
        <v>75</v>
      </c>
      <c r="C29" s="12">
        <v>69</v>
      </c>
      <c r="D29" s="12">
        <v>71</v>
      </c>
      <c r="E29" s="12">
        <v>42</v>
      </c>
      <c r="F29" s="12">
        <v>41</v>
      </c>
      <c r="G29" s="12">
        <v>45</v>
      </c>
      <c r="H29" s="12">
        <v>44</v>
      </c>
      <c r="I29" s="12">
        <v>42</v>
      </c>
      <c r="J29" s="12">
        <v>44</v>
      </c>
      <c r="K29" s="22">
        <v>473</v>
      </c>
      <c r="L29" s="23"/>
      <c r="M29" s="24" t="s">
        <v>29</v>
      </c>
      <c r="N29" s="25">
        <v>33.6</v>
      </c>
      <c r="O29" s="25">
        <v>37.700000000000003</v>
      </c>
      <c r="P29" s="12">
        <v>32.799999999999997</v>
      </c>
      <c r="Q29" s="12">
        <v>72</v>
      </c>
      <c r="R29" s="26"/>
    </row>
    <row r="30" spans="1:18" x14ac:dyDescent="0.3">
      <c r="A30" s="21" t="s">
        <v>129</v>
      </c>
      <c r="B30" s="12">
        <v>75</v>
      </c>
      <c r="C30" s="12">
        <v>75</v>
      </c>
      <c r="D30" s="12">
        <v>72</v>
      </c>
      <c r="E30" s="12">
        <v>45</v>
      </c>
      <c r="F30" s="12">
        <v>44</v>
      </c>
      <c r="G30" s="12">
        <v>42</v>
      </c>
      <c r="H30" s="12">
        <v>41</v>
      </c>
      <c r="I30" s="12">
        <v>42</v>
      </c>
      <c r="J30" s="12">
        <v>45</v>
      </c>
      <c r="K30" s="22">
        <v>481</v>
      </c>
      <c r="L30" s="23"/>
      <c r="M30" s="24" t="s">
        <v>29</v>
      </c>
      <c r="N30" s="25">
        <v>34</v>
      </c>
      <c r="O30" s="25">
        <v>37.700000000000003</v>
      </c>
      <c r="P30" s="12">
        <v>33.200000000000003</v>
      </c>
      <c r="Q30" s="12">
        <v>67</v>
      </c>
      <c r="R30" s="26"/>
    </row>
    <row r="31" spans="1:18" x14ac:dyDescent="0.3">
      <c r="A31" s="21" t="s">
        <v>130</v>
      </c>
      <c r="B31" s="12">
        <v>70</v>
      </c>
      <c r="C31" s="12">
        <v>69</v>
      </c>
      <c r="D31" s="12">
        <v>74</v>
      </c>
      <c r="E31" s="12">
        <v>41</v>
      </c>
      <c r="F31" s="12">
        <v>42</v>
      </c>
      <c r="G31" s="12">
        <v>42</v>
      </c>
      <c r="H31" s="12">
        <v>45</v>
      </c>
      <c r="I31" s="12">
        <v>45</v>
      </c>
      <c r="J31" s="12">
        <v>42</v>
      </c>
      <c r="K31" s="22">
        <v>470</v>
      </c>
      <c r="L31" s="23"/>
      <c r="M31" s="24" t="s">
        <v>29</v>
      </c>
      <c r="N31" s="25">
        <v>33.700000000000003</v>
      </c>
      <c r="O31" s="25">
        <v>37.299999999999997</v>
      </c>
      <c r="P31" s="12">
        <v>32.1</v>
      </c>
      <c r="Q31" s="12">
        <v>69</v>
      </c>
      <c r="R31" s="26"/>
    </row>
    <row r="32" spans="1:18" x14ac:dyDescent="0.3">
      <c r="A32" s="21" t="s">
        <v>131</v>
      </c>
      <c r="B32" s="12">
        <v>74</v>
      </c>
      <c r="C32" s="12">
        <v>71</v>
      </c>
      <c r="D32" s="12">
        <v>75</v>
      </c>
      <c r="E32" s="12">
        <v>42</v>
      </c>
      <c r="F32" s="12">
        <v>45</v>
      </c>
      <c r="G32" s="12">
        <v>45</v>
      </c>
      <c r="H32" s="12">
        <v>42</v>
      </c>
      <c r="I32" s="12">
        <v>45</v>
      </c>
      <c r="J32" s="12">
        <v>41</v>
      </c>
      <c r="K32" s="22">
        <v>480</v>
      </c>
      <c r="L32" s="23"/>
      <c r="M32" s="24" t="s">
        <v>29</v>
      </c>
      <c r="N32" s="25">
        <v>32</v>
      </c>
      <c r="O32" s="25">
        <v>36.299999999999997</v>
      </c>
      <c r="P32" s="12">
        <v>33.9</v>
      </c>
      <c r="Q32" s="12">
        <v>70</v>
      </c>
      <c r="R32" s="26"/>
    </row>
    <row r="33" spans="1:18" x14ac:dyDescent="0.3">
      <c r="A33" s="21" t="s">
        <v>132</v>
      </c>
      <c r="B33" s="12">
        <v>72</v>
      </c>
      <c r="C33" s="12">
        <v>76</v>
      </c>
      <c r="D33" s="12">
        <v>74</v>
      </c>
      <c r="E33" s="12">
        <v>41</v>
      </c>
      <c r="F33" s="12">
        <v>42</v>
      </c>
      <c r="G33" s="12">
        <v>42</v>
      </c>
      <c r="H33" s="12">
        <v>42</v>
      </c>
      <c r="I33" s="12">
        <v>45</v>
      </c>
      <c r="J33" s="12">
        <v>45</v>
      </c>
      <c r="K33" s="22">
        <v>479</v>
      </c>
      <c r="L33" s="23"/>
      <c r="M33" s="24" t="s">
        <v>29</v>
      </c>
      <c r="N33" s="25">
        <v>33.5</v>
      </c>
      <c r="O33" s="25">
        <v>36.6</v>
      </c>
      <c r="P33" s="12">
        <v>32.4</v>
      </c>
      <c r="Q33" s="12">
        <v>75</v>
      </c>
      <c r="R33" s="26"/>
    </row>
    <row r="34" spans="1:18" x14ac:dyDescent="0.3">
      <c r="A34" s="21" t="s">
        <v>133</v>
      </c>
      <c r="B34" s="12">
        <v>72</v>
      </c>
      <c r="C34" s="12">
        <v>76</v>
      </c>
      <c r="D34" s="12">
        <v>69</v>
      </c>
      <c r="E34" s="12">
        <v>42</v>
      </c>
      <c r="F34" s="12">
        <v>45</v>
      </c>
      <c r="G34" s="12">
        <v>43</v>
      </c>
      <c r="H34" s="12">
        <v>44</v>
      </c>
      <c r="I34" s="12">
        <v>44</v>
      </c>
      <c r="J34" s="12">
        <v>44</v>
      </c>
      <c r="K34" s="22">
        <v>479</v>
      </c>
      <c r="L34" s="23"/>
      <c r="M34" s="24" t="s">
        <v>29</v>
      </c>
      <c r="N34" s="25">
        <v>33.299999999999997</v>
      </c>
      <c r="O34" s="25">
        <v>36.700000000000003</v>
      </c>
      <c r="P34" s="12">
        <v>33.200000000000003</v>
      </c>
      <c r="Q34" s="12">
        <v>76</v>
      </c>
      <c r="R34" s="26"/>
    </row>
    <row r="35" spans="1:18" x14ac:dyDescent="0.3">
      <c r="A35" s="21" t="s">
        <v>134</v>
      </c>
      <c r="B35" s="12">
        <v>71</v>
      </c>
      <c r="C35" s="12">
        <v>73</v>
      </c>
      <c r="D35" s="12">
        <v>70</v>
      </c>
      <c r="E35" s="12">
        <v>41</v>
      </c>
      <c r="F35" s="12">
        <v>42</v>
      </c>
      <c r="G35" s="12">
        <v>44</v>
      </c>
      <c r="H35" s="12">
        <v>45</v>
      </c>
      <c r="I35" s="12">
        <v>46</v>
      </c>
      <c r="J35" s="12">
        <v>45</v>
      </c>
      <c r="K35" s="22">
        <v>477</v>
      </c>
      <c r="L35" s="23"/>
      <c r="M35" s="24" t="s">
        <v>29</v>
      </c>
      <c r="N35" s="25">
        <v>32.9</v>
      </c>
      <c r="O35" s="25">
        <v>36.799999999999997</v>
      </c>
      <c r="P35" s="12">
        <v>31.2</v>
      </c>
      <c r="Q35" s="12">
        <v>77</v>
      </c>
      <c r="R35" s="26"/>
    </row>
    <row r="36" spans="1:18" x14ac:dyDescent="0.3">
      <c r="A36" s="21" t="s">
        <v>135</v>
      </c>
      <c r="B36" s="12">
        <v>71</v>
      </c>
      <c r="C36" s="12">
        <v>71</v>
      </c>
      <c r="D36" s="12">
        <v>70</v>
      </c>
      <c r="E36" s="12">
        <v>44</v>
      </c>
      <c r="F36" s="12">
        <v>41</v>
      </c>
      <c r="G36" s="12">
        <v>42</v>
      </c>
      <c r="H36" s="12">
        <v>43</v>
      </c>
      <c r="I36" s="12">
        <v>43</v>
      </c>
      <c r="J36" s="12">
        <v>42</v>
      </c>
      <c r="K36" s="22">
        <f>SUM(B36:J36)</f>
        <v>467</v>
      </c>
      <c r="L36" s="23"/>
      <c r="M36" s="24" t="s">
        <v>29</v>
      </c>
      <c r="N36" s="25">
        <v>32.299999999999997</v>
      </c>
      <c r="O36" s="25">
        <v>36.299999999999997</v>
      </c>
      <c r="P36" s="12">
        <v>32.1</v>
      </c>
      <c r="Q36" s="12">
        <v>71</v>
      </c>
      <c r="R36" s="26"/>
    </row>
    <row r="37" spans="1:18" x14ac:dyDescent="0.3">
      <c r="A37" s="21" t="s">
        <v>136</v>
      </c>
      <c r="B37" s="12">
        <v>75</v>
      </c>
      <c r="C37" s="12">
        <v>73</v>
      </c>
      <c r="D37" s="12">
        <v>75</v>
      </c>
      <c r="E37" s="12">
        <v>45</v>
      </c>
      <c r="F37" s="12">
        <v>42</v>
      </c>
      <c r="G37" s="12">
        <v>42</v>
      </c>
      <c r="H37" s="12">
        <v>43</v>
      </c>
      <c r="I37" s="12">
        <v>43</v>
      </c>
      <c r="J37" s="12">
        <v>44</v>
      </c>
      <c r="K37" s="22">
        <v>482</v>
      </c>
      <c r="L37" s="23"/>
      <c r="M37" s="24" t="s">
        <v>29</v>
      </c>
      <c r="N37" s="25">
        <v>33.299999999999997</v>
      </c>
      <c r="O37" s="25">
        <v>37.1</v>
      </c>
      <c r="P37" s="12">
        <v>32.1</v>
      </c>
      <c r="Q37" s="12">
        <v>72.2</v>
      </c>
      <c r="R37" s="26"/>
    </row>
    <row r="38" spans="1:18" x14ac:dyDescent="0.3">
      <c r="A38" s="21" t="s">
        <v>137</v>
      </c>
      <c r="B38" s="12">
        <v>75</v>
      </c>
      <c r="C38" s="12">
        <v>74</v>
      </c>
      <c r="D38" s="12">
        <v>70</v>
      </c>
      <c r="E38" s="12">
        <v>46</v>
      </c>
      <c r="F38" s="12">
        <v>41</v>
      </c>
      <c r="G38" s="12">
        <v>44</v>
      </c>
      <c r="H38" s="12">
        <v>42</v>
      </c>
      <c r="I38" s="12">
        <v>42</v>
      </c>
      <c r="J38" s="12">
        <v>44</v>
      </c>
      <c r="K38" s="22">
        <v>478</v>
      </c>
      <c r="L38" s="23"/>
      <c r="M38" s="24" t="s">
        <v>29</v>
      </c>
      <c r="N38" s="25">
        <v>33.299999999999997</v>
      </c>
      <c r="O38" s="25">
        <v>37.200000000000003</v>
      </c>
      <c r="P38" s="12">
        <v>33.4</v>
      </c>
      <c r="Q38" s="12">
        <v>68</v>
      </c>
      <c r="R38" s="26"/>
    </row>
  </sheetData>
  <mergeCells count="14">
    <mergeCell ref="A1:R1"/>
    <mergeCell ref="A2:R2"/>
    <mergeCell ref="A3:D3"/>
    <mergeCell ref="E3:R3"/>
    <mergeCell ref="A5:A6"/>
    <mergeCell ref="B5:D5"/>
    <mergeCell ref="E5:G5"/>
    <mergeCell ref="H5:J5"/>
    <mergeCell ref="K5:K6"/>
    <mergeCell ref="L5:L6"/>
    <mergeCell ref="M5:M6"/>
    <mergeCell ref="N5:O5"/>
    <mergeCell ref="P5:Q5"/>
    <mergeCell ref="R5:R6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7"/>
  <sheetViews>
    <sheetView zoomScale="67" zoomScaleNormal="97" workbookViewId="0">
      <pane xSplit="1" ySplit="6" topLeftCell="B9" activePane="bottomRight" state="frozen"/>
      <selection pane="topRight" activeCell="B1" sqref="B1"/>
      <selection pane="bottomLeft" activeCell="A7" sqref="A7"/>
      <selection pane="bottomRight" sqref="A1:R1"/>
    </sheetView>
  </sheetViews>
  <sheetFormatPr defaultColWidth="8.6640625" defaultRowHeight="14.4" x14ac:dyDescent="0.3"/>
  <cols>
    <col min="1" max="1" width="14" customWidth="1"/>
    <col min="2" max="10" width="7" customWidth="1"/>
    <col min="11" max="11" width="9" customWidth="1"/>
    <col min="12" max="12" width="8" customWidth="1"/>
    <col min="13" max="17" width="7" customWidth="1"/>
    <col min="18" max="18" width="14" customWidth="1"/>
  </cols>
  <sheetData>
    <row r="1" spans="1:18" ht="21.75" customHeight="1" x14ac:dyDescent="0.3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" customHeight="1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customHeight="1" x14ac:dyDescent="0.3">
      <c r="A3" s="7" t="s">
        <v>11</v>
      </c>
      <c r="B3" s="7"/>
      <c r="C3" s="7"/>
      <c r="D3" s="7"/>
      <c r="E3" s="6" t="s">
        <v>138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5" spans="1:18" ht="25.5" customHeight="1" x14ac:dyDescent="0.3">
      <c r="A5" s="5" t="s">
        <v>13</v>
      </c>
      <c r="B5" s="4" t="s">
        <v>14</v>
      </c>
      <c r="C5" s="4"/>
      <c r="D5" s="4"/>
      <c r="E5" s="4" t="s">
        <v>15</v>
      </c>
      <c r="F5" s="4"/>
      <c r="G5" s="4"/>
      <c r="H5" s="4" t="s">
        <v>16</v>
      </c>
      <c r="I5" s="4"/>
      <c r="J5" s="4"/>
      <c r="K5" s="5" t="s">
        <v>17</v>
      </c>
      <c r="L5" s="5" t="s">
        <v>18</v>
      </c>
      <c r="M5" s="5" t="s">
        <v>19</v>
      </c>
      <c r="N5" s="4" t="s">
        <v>20</v>
      </c>
      <c r="O5" s="4"/>
      <c r="P5" s="4" t="s">
        <v>21</v>
      </c>
      <c r="Q5" s="4"/>
      <c r="R5" s="5" t="s">
        <v>22</v>
      </c>
    </row>
    <row r="6" spans="1:18" ht="18" customHeight="1" x14ac:dyDescent="0.3">
      <c r="A6" s="5"/>
      <c r="B6" s="10" t="s">
        <v>23</v>
      </c>
      <c r="C6" s="10" t="s">
        <v>24</v>
      </c>
      <c r="D6" s="10" t="s">
        <v>25</v>
      </c>
      <c r="E6" s="10" t="s">
        <v>23</v>
      </c>
      <c r="F6" s="10" t="s">
        <v>24</v>
      </c>
      <c r="G6" s="10" t="s">
        <v>25</v>
      </c>
      <c r="H6" s="10" t="s">
        <v>23</v>
      </c>
      <c r="I6" s="10" t="s">
        <v>24</v>
      </c>
      <c r="J6" s="10" t="s">
        <v>25</v>
      </c>
      <c r="K6" s="5"/>
      <c r="L6" s="5"/>
      <c r="M6" s="5"/>
      <c r="N6" s="10" t="s">
        <v>26</v>
      </c>
      <c r="O6" s="10" t="s">
        <v>27</v>
      </c>
      <c r="P6" s="10" t="s">
        <v>26</v>
      </c>
      <c r="Q6" s="10" t="s">
        <v>27</v>
      </c>
      <c r="R6" s="5"/>
    </row>
    <row r="7" spans="1:18" ht="15" customHeight="1" x14ac:dyDescent="0.3">
      <c r="A7" s="21" t="s">
        <v>139</v>
      </c>
      <c r="B7" s="12">
        <v>71</v>
      </c>
      <c r="C7" s="12">
        <v>74</v>
      </c>
      <c r="D7" s="12">
        <v>71</v>
      </c>
      <c r="E7" s="12">
        <v>42</v>
      </c>
      <c r="F7" s="12">
        <v>41</v>
      </c>
      <c r="G7" s="12">
        <v>43</v>
      </c>
      <c r="H7" s="12">
        <v>43</v>
      </c>
      <c r="I7" s="12">
        <v>42</v>
      </c>
      <c r="J7" s="12">
        <v>42</v>
      </c>
      <c r="K7" s="22">
        <v>469</v>
      </c>
      <c r="L7" s="30"/>
      <c r="M7" s="24" t="s">
        <v>29</v>
      </c>
      <c r="N7" s="25">
        <v>26.7</v>
      </c>
      <c r="O7" s="25">
        <v>33.299999999999997</v>
      </c>
      <c r="P7" s="12">
        <v>72</v>
      </c>
      <c r="Q7" s="12">
        <v>83</v>
      </c>
      <c r="R7" s="26"/>
    </row>
    <row r="8" spans="1:18" ht="15" customHeight="1" x14ac:dyDescent="0.3">
      <c r="A8" s="21" t="s">
        <v>140</v>
      </c>
      <c r="B8" s="15">
        <v>74</v>
      </c>
      <c r="C8" s="15">
        <v>75</v>
      </c>
      <c r="D8" s="15">
        <v>71</v>
      </c>
      <c r="E8" s="15">
        <v>42</v>
      </c>
      <c r="F8" s="15">
        <v>41</v>
      </c>
      <c r="G8" s="15">
        <v>43</v>
      </c>
      <c r="H8" s="15">
        <v>46</v>
      </c>
      <c r="I8" s="15">
        <v>45</v>
      </c>
      <c r="J8" s="15">
        <v>46</v>
      </c>
      <c r="K8" s="22">
        <v>483</v>
      </c>
      <c r="L8" s="31"/>
      <c r="M8" s="27" t="s">
        <v>29</v>
      </c>
      <c r="N8" s="28">
        <v>25.5</v>
      </c>
      <c r="O8" s="28">
        <v>32.799999999999997</v>
      </c>
      <c r="P8" s="15">
        <v>74</v>
      </c>
      <c r="Q8" s="15">
        <v>89</v>
      </c>
      <c r="R8" s="29"/>
    </row>
    <row r="9" spans="1:18" ht="15" customHeight="1" x14ac:dyDescent="0.3">
      <c r="A9" s="21" t="s">
        <v>141</v>
      </c>
      <c r="B9" s="12">
        <v>72</v>
      </c>
      <c r="C9" s="12">
        <v>73</v>
      </c>
      <c r="D9" s="12">
        <v>70</v>
      </c>
      <c r="E9" s="12">
        <v>43</v>
      </c>
      <c r="F9" s="12">
        <v>43</v>
      </c>
      <c r="G9" s="12">
        <v>45</v>
      </c>
      <c r="H9" s="12">
        <v>45</v>
      </c>
      <c r="I9" s="12">
        <v>43</v>
      </c>
      <c r="J9" s="12">
        <v>46</v>
      </c>
      <c r="K9" s="22">
        <v>480</v>
      </c>
      <c r="L9" s="23">
        <v>1</v>
      </c>
      <c r="M9" s="24" t="s">
        <v>48</v>
      </c>
      <c r="N9" s="25">
        <v>26.2</v>
      </c>
      <c r="O9" s="25">
        <v>31.8</v>
      </c>
      <c r="P9" s="12">
        <v>72</v>
      </c>
      <c r="Q9" s="12">
        <v>86</v>
      </c>
      <c r="R9" s="26" t="s">
        <v>49</v>
      </c>
    </row>
    <row r="10" spans="1:18" ht="15" customHeight="1" x14ac:dyDescent="0.3">
      <c r="A10" s="21" t="s">
        <v>142</v>
      </c>
      <c r="B10" s="15">
        <v>74</v>
      </c>
      <c r="C10" s="15">
        <v>71</v>
      </c>
      <c r="D10" s="15">
        <v>70</v>
      </c>
      <c r="E10" s="15">
        <v>42</v>
      </c>
      <c r="F10" s="15">
        <v>42</v>
      </c>
      <c r="G10" s="15">
        <v>42</v>
      </c>
      <c r="H10" s="15">
        <v>42</v>
      </c>
      <c r="I10" s="15">
        <v>44</v>
      </c>
      <c r="J10" s="15">
        <v>45</v>
      </c>
      <c r="K10" s="22">
        <v>472</v>
      </c>
      <c r="L10" s="31"/>
      <c r="M10" s="27" t="s">
        <v>29</v>
      </c>
      <c r="N10" s="28">
        <v>27.8</v>
      </c>
      <c r="O10" s="28">
        <v>35.5</v>
      </c>
      <c r="P10" s="15">
        <v>73</v>
      </c>
      <c r="Q10" s="15">
        <v>84</v>
      </c>
      <c r="R10" s="29"/>
    </row>
    <row r="11" spans="1:18" ht="15" customHeight="1" x14ac:dyDescent="0.3">
      <c r="A11" s="21" t="s">
        <v>143</v>
      </c>
      <c r="B11" s="12">
        <v>74</v>
      </c>
      <c r="C11" s="12">
        <v>76</v>
      </c>
      <c r="D11" s="12">
        <v>71</v>
      </c>
      <c r="E11" s="12">
        <v>43</v>
      </c>
      <c r="F11" s="12">
        <v>42</v>
      </c>
      <c r="G11" s="12">
        <v>44</v>
      </c>
      <c r="H11" s="12">
        <v>46</v>
      </c>
      <c r="I11" s="12">
        <v>45</v>
      </c>
      <c r="J11" s="12">
        <v>44</v>
      </c>
      <c r="K11" s="22">
        <v>485</v>
      </c>
      <c r="L11" s="30"/>
      <c r="M11" s="24" t="s">
        <v>29</v>
      </c>
      <c r="N11" s="25">
        <v>26.5</v>
      </c>
      <c r="O11" s="25">
        <v>31</v>
      </c>
      <c r="P11" s="12">
        <v>70</v>
      </c>
      <c r="Q11" s="12">
        <v>89</v>
      </c>
      <c r="R11" s="26"/>
    </row>
    <row r="12" spans="1:18" ht="15" customHeight="1" x14ac:dyDescent="0.3">
      <c r="A12" s="21" t="s">
        <v>144</v>
      </c>
      <c r="B12" s="15">
        <v>70</v>
      </c>
      <c r="C12" s="15">
        <v>70</v>
      </c>
      <c r="D12" s="15">
        <v>70</v>
      </c>
      <c r="E12" s="15">
        <v>44</v>
      </c>
      <c r="F12" s="15">
        <v>41</v>
      </c>
      <c r="G12" s="15">
        <v>42</v>
      </c>
      <c r="H12" s="15">
        <v>46</v>
      </c>
      <c r="I12" s="15">
        <v>44</v>
      </c>
      <c r="J12" s="15">
        <v>44</v>
      </c>
      <c r="K12" s="22">
        <v>471</v>
      </c>
      <c r="L12" s="23">
        <v>2</v>
      </c>
      <c r="M12" s="27" t="s">
        <v>48</v>
      </c>
      <c r="N12" s="28">
        <v>26.7</v>
      </c>
      <c r="O12" s="28">
        <v>33.6</v>
      </c>
      <c r="P12" s="15">
        <v>79</v>
      </c>
      <c r="Q12" s="15">
        <v>84</v>
      </c>
      <c r="R12" s="29" t="s">
        <v>89</v>
      </c>
    </row>
    <row r="13" spans="1:18" ht="15" customHeight="1" x14ac:dyDescent="0.3">
      <c r="A13" s="21" t="s">
        <v>145</v>
      </c>
      <c r="B13" s="12">
        <v>72</v>
      </c>
      <c r="C13" s="12">
        <v>72</v>
      </c>
      <c r="D13" s="12">
        <v>70</v>
      </c>
      <c r="E13" s="12">
        <v>44</v>
      </c>
      <c r="F13" s="12">
        <v>43</v>
      </c>
      <c r="G13" s="12">
        <v>44</v>
      </c>
      <c r="H13" s="12">
        <v>46</v>
      </c>
      <c r="I13" s="12">
        <v>44</v>
      </c>
      <c r="J13" s="12">
        <v>42</v>
      </c>
      <c r="K13" s="22">
        <v>477</v>
      </c>
      <c r="L13" s="30"/>
      <c r="M13" s="24" t="s">
        <v>29</v>
      </c>
      <c r="N13" s="25">
        <v>26</v>
      </c>
      <c r="O13" s="25">
        <v>30.3</v>
      </c>
      <c r="P13" s="12">
        <v>79</v>
      </c>
      <c r="Q13" s="12">
        <v>92</v>
      </c>
      <c r="R13" s="26"/>
    </row>
    <row r="14" spans="1:18" ht="15" customHeight="1" x14ac:dyDescent="0.3">
      <c r="A14" s="21" t="s">
        <v>146</v>
      </c>
      <c r="B14" s="15">
        <v>72</v>
      </c>
      <c r="C14" s="15">
        <v>73</v>
      </c>
      <c r="D14" s="15">
        <v>73</v>
      </c>
      <c r="E14" s="15">
        <v>42</v>
      </c>
      <c r="F14" s="15">
        <v>45</v>
      </c>
      <c r="G14" s="15">
        <v>42</v>
      </c>
      <c r="H14" s="15">
        <v>43</v>
      </c>
      <c r="I14" s="15">
        <v>46</v>
      </c>
      <c r="J14" s="15">
        <v>42</v>
      </c>
      <c r="K14" s="22">
        <v>478</v>
      </c>
      <c r="L14" s="31"/>
      <c r="M14" s="27" t="s">
        <v>29</v>
      </c>
      <c r="N14" s="28">
        <v>26.6</v>
      </c>
      <c r="O14" s="28">
        <v>31.4</v>
      </c>
      <c r="P14" s="15">
        <v>74</v>
      </c>
      <c r="Q14" s="15">
        <v>86</v>
      </c>
      <c r="R14" s="29"/>
    </row>
    <row r="15" spans="1:18" ht="15" customHeight="1" x14ac:dyDescent="0.3">
      <c r="A15" s="21" t="s">
        <v>147</v>
      </c>
      <c r="B15" s="12">
        <v>70</v>
      </c>
      <c r="C15" s="12">
        <v>70</v>
      </c>
      <c r="D15" s="12">
        <v>71</v>
      </c>
      <c r="E15" s="12">
        <v>43</v>
      </c>
      <c r="F15" s="12">
        <v>41</v>
      </c>
      <c r="G15" s="12">
        <v>43</v>
      </c>
      <c r="H15" s="12">
        <v>46</v>
      </c>
      <c r="I15" s="12">
        <v>43</v>
      </c>
      <c r="J15" s="12">
        <v>44</v>
      </c>
      <c r="K15" s="22">
        <v>471</v>
      </c>
      <c r="L15" s="30"/>
      <c r="M15" s="24" t="s">
        <v>29</v>
      </c>
      <c r="N15" s="25">
        <v>26.9</v>
      </c>
      <c r="O15" s="25">
        <v>30.7</v>
      </c>
      <c r="P15" s="12">
        <v>79</v>
      </c>
      <c r="Q15" s="12">
        <v>89</v>
      </c>
      <c r="R15" s="26"/>
    </row>
    <row r="16" spans="1:18" ht="15" customHeight="1" x14ac:dyDescent="0.3">
      <c r="A16" s="21" t="s">
        <v>148</v>
      </c>
      <c r="B16" s="15">
        <v>72</v>
      </c>
      <c r="C16" s="15">
        <v>70</v>
      </c>
      <c r="D16" s="15">
        <v>75</v>
      </c>
      <c r="E16" s="15">
        <v>44</v>
      </c>
      <c r="F16" s="15">
        <v>45</v>
      </c>
      <c r="G16" s="15">
        <v>43</v>
      </c>
      <c r="H16" s="15">
        <v>45</v>
      </c>
      <c r="I16" s="15">
        <v>44</v>
      </c>
      <c r="J16" s="15">
        <v>44</v>
      </c>
      <c r="K16" s="22">
        <v>482</v>
      </c>
      <c r="L16" s="31"/>
      <c r="M16" s="27" t="s">
        <v>29</v>
      </c>
      <c r="N16" s="28">
        <v>26.3</v>
      </c>
      <c r="O16" s="28">
        <v>30.7</v>
      </c>
      <c r="P16" s="15">
        <v>78</v>
      </c>
      <c r="Q16" s="15">
        <v>89</v>
      </c>
      <c r="R16" s="29"/>
    </row>
    <row r="17" spans="1:18" ht="15" customHeight="1" x14ac:dyDescent="0.3">
      <c r="A17" s="21" t="s">
        <v>149</v>
      </c>
      <c r="B17" s="12">
        <v>74</v>
      </c>
      <c r="C17" s="12">
        <v>72</v>
      </c>
      <c r="D17" s="12">
        <v>73</v>
      </c>
      <c r="E17" s="12">
        <v>42</v>
      </c>
      <c r="F17" s="12">
        <v>43</v>
      </c>
      <c r="G17" s="12">
        <v>44</v>
      </c>
      <c r="H17" s="12">
        <v>45</v>
      </c>
      <c r="I17" s="12">
        <v>46</v>
      </c>
      <c r="J17" s="12">
        <v>42</v>
      </c>
      <c r="K17" s="22">
        <v>481</v>
      </c>
      <c r="L17" s="30"/>
      <c r="M17" s="24" t="s">
        <v>29</v>
      </c>
      <c r="N17" s="25">
        <v>25.6</v>
      </c>
      <c r="O17" s="25">
        <v>33.799999999999997</v>
      </c>
      <c r="P17" s="12">
        <v>73</v>
      </c>
      <c r="Q17" s="12">
        <v>87</v>
      </c>
      <c r="R17" s="26"/>
    </row>
    <row r="18" spans="1:18" ht="15" customHeight="1" x14ac:dyDescent="0.3">
      <c r="A18" s="21" t="s">
        <v>150</v>
      </c>
      <c r="B18" s="15">
        <v>73</v>
      </c>
      <c r="C18" s="15">
        <v>75</v>
      </c>
      <c r="D18" s="15">
        <v>75</v>
      </c>
      <c r="E18" s="15">
        <v>43</v>
      </c>
      <c r="F18" s="15">
        <v>45</v>
      </c>
      <c r="G18" s="15">
        <v>42</v>
      </c>
      <c r="H18" s="15">
        <v>45</v>
      </c>
      <c r="I18" s="15">
        <v>45</v>
      </c>
      <c r="J18" s="15">
        <v>44</v>
      </c>
      <c r="K18" s="22">
        <v>487</v>
      </c>
      <c r="L18" s="31"/>
      <c r="M18" s="27" t="s">
        <v>29</v>
      </c>
      <c r="N18" s="28">
        <v>25.4</v>
      </c>
      <c r="O18" s="28">
        <v>31.7</v>
      </c>
      <c r="P18" s="15">
        <v>75</v>
      </c>
      <c r="Q18" s="15">
        <v>86</v>
      </c>
      <c r="R18" s="29"/>
    </row>
    <row r="19" spans="1:18" ht="15" customHeight="1" x14ac:dyDescent="0.3">
      <c r="A19" s="21" t="s">
        <v>151</v>
      </c>
      <c r="B19" s="12">
        <v>70</v>
      </c>
      <c r="C19" s="12">
        <v>76</v>
      </c>
      <c r="D19" s="12">
        <v>76</v>
      </c>
      <c r="E19" s="12">
        <v>45</v>
      </c>
      <c r="F19" s="12">
        <v>43</v>
      </c>
      <c r="G19" s="12">
        <v>42</v>
      </c>
      <c r="H19" s="12">
        <v>44</v>
      </c>
      <c r="I19" s="12">
        <v>42</v>
      </c>
      <c r="J19" s="12">
        <v>44</v>
      </c>
      <c r="K19" s="22">
        <v>482</v>
      </c>
      <c r="L19" s="30"/>
      <c r="M19" s="24" t="s">
        <v>29</v>
      </c>
      <c r="N19" s="25">
        <v>25.4</v>
      </c>
      <c r="O19" s="25">
        <v>32.6</v>
      </c>
      <c r="P19" s="12">
        <v>74</v>
      </c>
      <c r="Q19" s="12">
        <v>85</v>
      </c>
      <c r="R19" s="26"/>
    </row>
    <row r="20" spans="1:18" ht="15" customHeight="1" x14ac:dyDescent="0.3">
      <c r="A20" s="21" t="s">
        <v>152</v>
      </c>
      <c r="B20" s="15">
        <v>75</v>
      </c>
      <c r="C20" s="15">
        <v>75</v>
      </c>
      <c r="D20" s="15">
        <v>71</v>
      </c>
      <c r="E20" s="15">
        <v>41</v>
      </c>
      <c r="F20" s="15">
        <v>44</v>
      </c>
      <c r="G20" s="15">
        <v>43</v>
      </c>
      <c r="H20" s="15">
        <v>45</v>
      </c>
      <c r="I20" s="15">
        <v>42</v>
      </c>
      <c r="J20" s="15">
        <v>44</v>
      </c>
      <c r="K20" s="22">
        <v>480</v>
      </c>
      <c r="L20" s="31"/>
      <c r="M20" s="27" t="s">
        <v>29</v>
      </c>
      <c r="N20" s="28">
        <v>27</v>
      </c>
      <c r="O20" s="28">
        <v>33.299999999999997</v>
      </c>
      <c r="P20" s="15">
        <v>78</v>
      </c>
      <c r="Q20" s="15">
        <v>83</v>
      </c>
      <c r="R20" s="29"/>
    </row>
    <row r="21" spans="1:18" ht="15" customHeight="1" x14ac:dyDescent="0.3">
      <c r="A21" s="21" t="s">
        <v>153</v>
      </c>
      <c r="B21" s="12">
        <v>76</v>
      </c>
      <c r="C21" s="12">
        <v>74</v>
      </c>
      <c r="D21" s="12">
        <v>75</v>
      </c>
      <c r="E21" s="12">
        <v>43</v>
      </c>
      <c r="F21" s="12">
        <v>43</v>
      </c>
      <c r="G21" s="12">
        <v>45</v>
      </c>
      <c r="H21" s="12">
        <v>46</v>
      </c>
      <c r="I21" s="12">
        <v>43</v>
      </c>
      <c r="J21" s="12">
        <v>42</v>
      </c>
      <c r="K21" s="22">
        <v>487</v>
      </c>
      <c r="L21" s="30"/>
      <c r="M21" s="24" t="s">
        <v>29</v>
      </c>
      <c r="N21" s="25">
        <v>26.8</v>
      </c>
      <c r="O21" s="25">
        <v>30.6</v>
      </c>
      <c r="P21" s="12">
        <v>77</v>
      </c>
      <c r="Q21" s="12">
        <v>90</v>
      </c>
      <c r="R21" s="26"/>
    </row>
    <row r="22" spans="1:18" ht="15" customHeight="1" x14ac:dyDescent="0.3">
      <c r="A22" s="21" t="s">
        <v>154</v>
      </c>
      <c r="B22" s="15">
        <v>72</v>
      </c>
      <c r="C22" s="15">
        <v>74</v>
      </c>
      <c r="D22" s="15">
        <v>74</v>
      </c>
      <c r="E22" s="15">
        <v>44</v>
      </c>
      <c r="F22" s="15">
        <v>44</v>
      </c>
      <c r="G22" s="15">
        <v>41</v>
      </c>
      <c r="H22" s="15">
        <v>43</v>
      </c>
      <c r="I22" s="15">
        <v>44</v>
      </c>
      <c r="J22" s="15">
        <v>46</v>
      </c>
      <c r="K22" s="22">
        <v>482</v>
      </c>
      <c r="L22" s="31"/>
      <c r="M22" s="27" t="s">
        <v>29</v>
      </c>
      <c r="N22" s="28">
        <v>25.1</v>
      </c>
      <c r="O22" s="28">
        <v>32.299999999999997</v>
      </c>
      <c r="P22" s="15">
        <v>75</v>
      </c>
      <c r="Q22" s="15">
        <v>92</v>
      </c>
      <c r="R22" s="29"/>
    </row>
    <row r="23" spans="1:18" ht="15" customHeight="1" x14ac:dyDescent="0.3">
      <c r="A23" s="21" t="s">
        <v>155</v>
      </c>
      <c r="B23" s="12">
        <v>76</v>
      </c>
      <c r="C23" s="12">
        <v>72</v>
      </c>
      <c r="D23" s="12">
        <v>73</v>
      </c>
      <c r="E23" s="12">
        <v>41</v>
      </c>
      <c r="F23" s="12">
        <v>43</v>
      </c>
      <c r="G23" s="12">
        <v>42</v>
      </c>
      <c r="H23" s="12">
        <v>44</v>
      </c>
      <c r="I23" s="12">
        <v>44</v>
      </c>
      <c r="J23" s="12">
        <v>46</v>
      </c>
      <c r="K23" s="22">
        <v>481</v>
      </c>
      <c r="L23" s="30"/>
      <c r="M23" s="24" t="s">
        <v>29</v>
      </c>
      <c r="N23" s="25">
        <v>26.5</v>
      </c>
      <c r="O23" s="25">
        <v>31.3</v>
      </c>
      <c r="P23" s="12">
        <v>79</v>
      </c>
      <c r="Q23" s="12">
        <v>84</v>
      </c>
      <c r="R23" s="26"/>
    </row>
    <row r="24" spans="1:18" ht="15" customHeight="1" x14ac:dyDescent="0.3">
      <c r="A24" s="21" t="s">
        <v>156</v>
      </c>
      <c r="B24" s="15">
        <v>73</v>
      </c>
      <c r="C24" s="15">
        <v>72</v>
      </c>
      <c r="D24" s="15">
        <v>73</v>
      </c>
      <c r="E24" s="15">
        <v>41</v>
      </c>
      <c r="F24" s="15">
        <v>45</v>
      </c>
      <c r="G24" s="15">
        <v>43</v>
      </c>
      <c r="H24" s="15">
        <v>44</v>
      </c>
      <c r="I24" s="15">
        <v>46</v>
      </c>
      <c r="J24" s="15">
        <v>42</v>
      </c>
      <c r="K24" s="22">
        <v>479</v>
      </c>
      <c r="L24" s="31"/>
      <c r="M24" s="27" t="s">
        <v>29</v>
      </c>
      <c r="N24" s="28">
        <v>25.4</v>
      </c>
      <c r="O24" s="28">
        <v>31</v>
      </c>
      <c r="P24" s="15">
        <v>74</v>
      </c>
      <c r="Q24" s="15">
        <v>89</v>
      </c>
      <c r="R24" s="29"/>
    </row>
    <row r="25" spans="1:18" ht="15" customHeight="1" x14ac:dyDescent="0.3">
      <c r="A25" s="21" t="s">
        <v>157</v>
      </c>
      <c r="B25" s="12">
        <v>74</v>
      </c>
      <c r="C25" s="12">
        <v>71</v>
      </c>
      <c r="D25" s="12">
        <v>70</v>
      </c>
      <c r="E25" s="12">
        <v>42</v>
      </c>
      <c r="F25" s="12">
        <v>42</v>
      </c>
      <c r="G25" s="12">
        <v>41</v>
      </c>
      <c r="H25" s="12">
        <v>46</v>
      </c>
      <c r="I25" s="12">
        <v>43</v>
      </c>
      <c r="J25" s="12">
        <v>44</v>
      </c>
      <c r="K25" s="22">
        <v>473</v>
      </c>
      <c r="L25" s="23">
        <v>2</v>
      </c>
      <c r="M25" s="24" t="s">
        <v>48</v>
      </c>
      <c r="N25" s="25">
        <v>27.1</v>
      </c>
      <c r="O25" s="25">
        <v>33.1</v>
      </c>
      <c r="P25" s="12">
        <v>78</v>
      </c>
      <c r="Q25" s="12">
        <v>86</v>
      </c>
      <c r="R25" s="26" t="s">
        <v>89</v>
      </c>
    </row>
    <row r="26" spans="1:18" ht="15" customHeight="1" x14ac:dyDescent="0.3">
      <c r="A26" s="21" t="s">
        <v>158</v>
      </c>
      <c r="B26" s="15">
        <v>74</v>
      </c>
      <c r="C26" s="15">
        <v>73</v>
      </c>
      <c r="D26" s="15">
        <v>75</v>
      </c>
      <c r="E26" s="15">
        <v>45</v>
      </c>
      <c r="F26" s="15">
        <v>41</v>
      </c>
      <c r="G26" s="15">
        <v>44</v>
      </c>
      <c r="H26" s="15">
        <v>46</v>
      </c>
      <c r="I26" s="15">
        <v>46</v>
      </c>
      <c r="J26" s="15">
        <v>44</v>
      </c>
      <c r="K26" s="22">
        <v>488</v>
      </c>
      <c r="L26" s="31"/>
      <c r="M26" s="27" t="s">
        <v>29</v>
      </c>
      <c r="N26" s="28">
        <v>25.7</v>
      </c>
      <c r="O26" s="28">
        <v>30.5</v>
      </c>
      <c r="P26" s="15">
        <v>74</v>
      </c>
      <c r="Q26" s="15">
        <v>84</v>
      </c>
      <c r="R26" s="29"/>
    </row>
    <row r="27" spans="1:18" ht="15" customHeight="1" x14ac:dyDescent="0.3">
      <c r="A27" s="21" t="s">
        <v>159</v>
      </c>
      <c r="B27" s="12">
        <v>74</v>
      </c>
      <c r="C27" s="12">
        <v>71</v>
      </c>
      <c r="D27" s="12">
        <v>74</v>
      </c>
      <c r="E27" s="12">
        <v>41</v>
      </c>
      <c r="F27" s="12">
        <v>41</v>
      </c>
      <c r="G27" s="12">
        <v>44</v>
      </c>
      <c r="H27" s="12">
        <v>46</v>
      </c>
      <c r="I27" s="12">
        <v>44</v>
      </c>
      <c r="J27" s="12">
        <v>46</v>
      </c>
      <c r="K27" s="22">
        <v>481</v>
      </c>
      <c r="L27" s="30"/>
      <c r="M27" s="24" t="s">
        <v>29</v>
      </c>
      <c r="N27" s="25">
        <v>26</v>
      </c>
      <c r="O27" s="25">
        <v>30.1</v>
      </c>
      <c r="P27" s="12">
        <v>78</v>
      </c>
      <c r="Q27" s="12">
        <v>90</v>
      </c>
      <c r="R27" s="26"/>
    </row>
    <row r="28" spans="1:18" ht="15" customHeight="1" x14ac:dyDescent="0.3">
      <c r="A28" s="21" t="s">
        <v>160</v>
      </c>
      <c r="B28" s="15">
        <v>72</v>
      </c>
      <c r="C28" s="15">
        <v>71</v>
      </c>
      <c r="D28" s="15">
        <v>71</v>
      </c>
      <c r="E28" s="15">
        <v>42</v>
      </c>
      <c r="F28" s="15">
        <v>44</v>
      </c>
      <c r="G28" s="15">
        <v>42</v>
      </c>
      <c r="H28" s="15">
        <v>42</v>
      </c>
      <c r="I28" s="15">
        <v>42</v>
      </c>
      <c r="J28" s="15">
        <v>46</v>
      </c>
      <c r="K28" s="22">
        <v>472</v>
      </c>
      <c r="L28" s="31"/>
      <c r="M28" s="27" t="s">
        <v>29</v>
      </c>
      <c r="N28" s="28">
        <v>27.5</v>
      </c>
      <c r="O28" s="28">
        <v>31.6</v>
      </c>
      <c r="P28" s="15">
        <v>73</v>
      </c>
      <c r="Q28" s="15">
        <v>85</v>
      </c>
      <c r="R28" s="29"/>
    </row>
    <row r="29" spans="1:18" ht="15" customHeight="1" x14ac:dyDescent="0.3">
      <c r="A29" s="21" t="s">
        <v>161</v>
      </c>
      <c r="B29" s="12">
        <v>72</v>
      </c>
      <c r="C29" s="12">
        <v>73</v>
      </c>
      <c r="D29" s="12">
        <v>72</v>
      </c>
      <c r="E29" s="12">
        <v>41</v>
      </c>
      <c r="F29" s="12">
        <v>45</v>
      </c>
      <c r="G29" s="12">
        <v>41</v>
      </c>
      <c r="H29" s="12">
        <v>43</v>
      </c>
      <c r="I29" s="12">
        <v>43</v>
      </c>
      <c r="J29" s="12">
        <v>45</v>
      </c>
      <c r="K29" s="22">
        <v>475</v>
      </c>
      <c r="L29" s="30"/>
      <c r="M29" s="24" t="s">
        <v>29</v>
      </c>
      <c r="N29" s="25">
        <v>26.6</v>
      </c>
      <c r="O29" s="25">
        <v>31.3</v>
      </c>
      <c r="P29" s="12">
        <v>70</v>
      </c>
      <c r="Q29" s="12">
        <v>85</v>
      </c>
      <c r="R29" s="26"/>
    </row>
    <row r="30" spans="1:18" ht="15" customHeight="1" x14ac:dyDescent="0.3">
      <c r="A30" s="21" t="s">
        <v>162</v>
      </c>
      <c r="B30" s="15">
        <v>76</v>
      </c>
      <c r="C30" s="15">
        <v>71</v>
      </c>
      <c r="D30" s="15">
        <v>75</v>
      </c>
      <c r="E30" s="15">
        <v>43</v>
      </c>
      <c r="F30" s="15">
        <v>44</v>
      </c>
      <c r="G30" s="15">
        <v>43</v>
      </c>
      <c r="H30" s="15">
        <v>44</v>
      </c>
      <c r="I30" s="15">
        <v>46</v>
      </c>
      <c r="J30" s="15">
        <v>42</v>
      </c>
      <c r="K30" s="22">
        <v>484</v>
      </c>
      <c r="L30" s="31"/>
      <c r="M30" s="27" t="s">
        <v>29</v>
      </c>
      <c r="N30" s="28">
        <v>25.2</v>
      </c>
      <c r="O30" s="28">
        <v>31.7</v>
      </c>
      <c r="P30" s="15">
        <v>74</v>
      </c>
      <c r="Q30" s="15">
        <v>87</v>
      </c>
      <c r="R30" s="29"/>
    </row>
    <row r="31" spans="1:18" ht="15" customHeight="1" x14ac:dyDescent="0.3">
      <c r="A31" s="21" t="s">
        <v>163</v>
      </c>
      <c r="B31" s="12">
        <v>73</v>
      </c>
      <c r="C31" s="12">
        <v>76</v>
      </c>
      <c r="D31" s="12">
        <v>70</v>
      </c>
      <c r="E31" s="12">
        <v>41</v>
      </c>
      <c r="F31" s="12">
        <v>44</v>
      </c>
      <c r="G31" s="12">
        <v>41</v>
      </c>
      <c r="H31" s="12">
        <v>44</v>
      </c>
      <c r="I31" s="12">
        <v>43</v>
      </c>
      <c r="J31" s="12">
        <v>44</v>
      </c>
      <c r="K31" s="22">
        <v>476</v>
      </c>
      <c r="L31" s="30"/>
      <c r="M31" s="24" t="s">
        <v>29</v>
      </c>
      <c r="N31" s="25">
        <v>26.9</v>
      </c>
      <c r="O31" s="25">
        <v>33.5</v>
      </c>
      <c r="P31" s="12">
        <v>75</v>
      </c>
      <c r="Q31" s="12">
        <v>84</v>
      </c>
      <c r="R31" s="26"/>
    </row>
    <row r="32" spans="1:18" ht="15" customHeight="1" x14ac:dyDescent="0.3">
      <c r="A32" s="21" t="s">
        <v>164</v>
      </c>
      <c r="B32" s="15">
        <v>73</v>
      </c>
      <c r="C32" s="15">
        <v>70</v>
      </c>
      <c r="D32" s="15">
        <v>74</v>
      </c>
      <c r="E32" s="15">
        <v>43</v>
      </c>
      <c r="F32" s="15">
        <v>45</v>
      </c>
      <c r="G32" s="15">
        <v>45</v>
      </c>
      <c r="H32" s="15">
        <v>46</v>
      </c>
      <c r="I32" s="15">
        <v>45</v>
      </c>
      <c r="J32" s="15">
        <v>45</v>
      </c>
      <c r="K32" s="22">
        <v>486</v>
      </c>
      <c r="L32" s="31"/>
      <c r="M32" s="27" t="s">
        <v>29</v>
      </c>
      <c r="N32" s="28">
        <v>25.4</v>
      </c>
      <c r="O32" s="28">
        <v>32.799999999999997</v>
      </c>
      <c r="P32" s="15">
        <v>77</v>
      </c>
      <c r="Q32" s="15">
        <v>86</v>
      </c>
      <c r="R32" s="29"/>
    </row>
    <row r="33" spans="1:18" ht="15" customHeight="1" x14ac:dyDescent="0.3">
      <c r="A33" s="21" t="s">
        <v>165</v>
      </c>
      <c r="B33" s="12">
        <v>76</v>
      </c>
      <c r="C33" s="12">
        <v>76</v>
      </c>
      <c r="D33" s="12">
        <v>76</v>
      </c>
      <c r="E33" s="12">
        <v>44</v>
      </c>
      <c r="F33" s="12">
        <v>43</v>
      </c>
      <c r="G33" s="12">
        <v>41</v>
      </c>
      <c r="H33" s="12">
        <v>42</v>
      </c>
      <c r="I33" s="12">
        <v>42</v>
      </c>
      <c r="J33" s="12">
        <v>42</v>
      </c>
      <c r="K33" s="22">
        <v>482</v>
      </c>
      <c r="L33" s="30"/>
      <c r="M33" s="24" t="s">
        <v>29</v>
      </c>
      <c r="N33" s="25">
        <v>26.3</v>
      </c>
      <c r="O33" s="25">
        <v>30.3</v>
      </c>
      <c r="P33" s="12">
        <v>76</v>
      </c>
      <c r="Q33" s="12">
        <v>89</v>
      </c>
      <c r="R33" s="26"/>
    </row>
    <row r="34" spans="1:18" ht="15" customHeight="1" x14ac:dyDescent="0.3">
      <c r="A34" s="21" t="s">
        <v>166</v>
      </c>
      <c r="B34" s="15">
        <v>74</v>
      </c>
      <c r="C34" s="15">
        <v>71</v>
      </c>
      <c r="D34" s="15">
        <v>75</v>
      </c>
      <c r="E34" s="15">
        <v>43</v>
      </c>
      <c r="F34" s="15">
        <v>45</v>
      </c>
      <c r="G34" s="15">
        <v>41</v>
      </c>
      <c r="H34" s="15">
        <v>44</v>
      </c>
      <c r="I34" s="15">
        <v>45</v>
      </c>
      <c r="J34" s="15">
        <v>46</v>
      </c>
      <c r="K34" s="22">
        <v>484</v>
      </c>
      <c r="L34" s="31"/>
      <c r="M34" s="27" t="s">
        <v>29</v>
      </c>
      <c r="N34" s="28">
        <v>25.4</v>
      </c>
      <c r="O34" s="28">
        <v>31</v>
      </c>
      <c r="P34" s="15">
        <v>78</v>
      </c>
      <c r="Q34" s="15">
        <v>86</v>
      </c>
      <c r="R34" s="29"/>
    </row>
    <row r="35" spans="1:18" ht="15" customHeight="1" x14ac:dyDescent="0.3">
      <c r="A35" s="21" t="s">
        <v>167</v>
      </c>
      <c r="B35" s="12">
        <v>72</v>
      </c>
      <c r="C35" s="12">
        <v>72</v>
      </c>
      <c r="D35" s="12">
        <v>76</v>
      </c>
      <c r="E35" s="12">
        <v>43</v>
      </c>
      <c r="F35" s="12">
        <v>45</v>
      </c>
      <c r="G35" s="12">
        <v>43</v>
      </c>
      <c r="H35" s="12">
        <v>46</v>
      </c>
      <c r="I35" s="12">
        <v>44</v>
      </c>
      <c r="J35" s="12">
        <v>42</v>
      </c>
      <c r="K35" s="22">
        <v>483</v>
      </c>
      <c r="L35" s="30"/>
      <c r="M35" s="24" t="s">
        <v>29</v>
      </c>
      <c r="N35" s="25">
        <v>26.5</v>
      </c>
      <c r="O35" s="25">
        <v>32.299999999999997</v>
      </c>
      <c r="P35" s="12">
        <v>74</v>
      </c>
      <c r="Q35" s="12">
        <v>88</v>
      </c>
      <c r="R35" s="26"/>
    </row>
    <row r="36" spans="1:18" ht="15" customHeight="1" x14ac:dyDescent="0.3">
      <c r="A36" s="21" t="s">
        <v>168</v>
      </c>
      <c r="B36" s="15">
        <v>75</v>
      </c>
      <c r="C36" s="15">
        <v>76</v>
      </c>
      <c r="D36" s="15">
        <v>71</v>
      </c>
      <c r="E36" s="15">
        <v>45</v>
      </c>
      <c r="F36" s="15">
        <v>45</v>
      </c>
      <c r="G36" s="15">
        <v>44</v>
      </c>
      <c r="H36" s="15">
        <v>45</v>
      </c>
      <c r="I36" s="15">
        <v>42</v>
      </c>
      <c r="J36" s="15">
        <v>44</v>
      </c>
      <c r="K36" s="22">
        <v>487</v>
      </c>
      <c r="L36" s="23">
        <v>2</v>
      </c>
      <c r="M36" s="27" t="s">
        <v>48</v>
      </c>
      <c r="N36" s="28">
        <v>25.1</v>
      </c>
      <c r="O36" s="28">
        <v>32.9</v>
      </c>
      <c r="P36" s="15">
        <v>72</v>
      </c>
      <c r="Q36" s="15">
        <v>90</v>
      </c>
      <c r="R36" s="29" t="s">
        <v>89</v>
      </c>
    </row>
    <row r="37" spans="1:18" ht="15" customHeight="1" x14ac:dyDescent="0.3">
      <c r="A37" s="21" t="s">
        <v>169</v>
      </c>
      <c r="B37" s="12">
        <v>75</v>
      </c>
      <c r="C37" s="12">
        <v>74</v>
      </c>
      <c r="D37" s="12">
        <v>71</v>
      </c>
      <c r="E37" s="12">
        <v>44</v>
      </c>
      <c r="F37" s="12">
        <v>43</v>
      </c>
      <c r="G37" s="12">
        <v>42</v>
      </c>
      <c r="H37" s="12">
        <v>44</v>
      </c>
      <c r="I37" s="12">
        <v>46</v>
      </c>
      <c r="J37" s="12">
        <v>45</v>
      </c>
      <c r="K37" s="22">
        <v>484</v>
      </c>
      <c r="L37" s="30"/>
      <c r="M37" s="24" t="s">
        <v>29</v>
      </c>
      <c r="N37" s="25">
        <v>26.2</v>
      </c>
      <c r="O37" s="25">
        <v>30.8</v>
      </c>
      <c r="P37" s="12">
        <v>77</v>
      </c>
      <c r="Q37" s="12">
        <v>86</v>
      </c>
      <c r="R37" s="26"/>
    </row>
    <row r="38" spans="1:18" ht="19.5" customHeight="1" x14ac:dyDescent="0.3">
      <c r="A38" s="16" t="s">
        <v>62</v>
      </c>
      <c r="B38" s="18">
        <v>2270</v>
      </c>
      <c r="C38" s="18">
        <v>2259</v>
      </c>
      <c r="D38" s="18">
        <v>2252</v>
      </c>
      <c r="E38" s="18">
        <v>1326</v>
      </c>
      <c r="F38" s="18">
        <v>1341</v>
      </c>
      <c r="G38" s="18">
        <v>1325</v>
      </c>
      <c r="H38" s="18">
        <v>1382</v>
      </c>
      <c r="I38" s="18">
        <v>1363</v>
      </c>
      <c r="J38" s="18">
        <v>1364</v>
      </c>
      <c r="K38" s="18">
        <v>14882</v>
      </c>
      <c r="L38" s="19">
        <v>7</v>
      </c>
      <c r="M38" s="33" t="s">
        <v>63</v>
      </c>
      <c r="N38" s="33" t="s">
        <v>63</v>
      </c>
      <c r="O38" s="33" t="s">
        <v>63</v>
      </c>
      <c r="P38" s="33" t="s">
        <v>63</v>
      </c>
      <c r="Q38" s="33" t="s">
        <v>63</v>
      </c>
      <c r="R38" s="33" t="s">
        <v>63</v>
      </c>
    </row>
    <row r="40" spans="1:18" ht="15" customHeight="1" x14ac:dyDescent="0.3">
      <c r="A40" s="2" t="s">
        <v>64</v>
      </c>
      <c r="B40" s="2"/>
      <c r="C40" s="2"/>
      <c r="D40" s="2"/>
      <c r="E40" s="2"/>
    </row>
    <row r="41" spans="1:18" ht="15" customHeight="1" x14ac:dyDescent="0.3">
      <c r="A41" s="20" t="s">
        <v>65</v>
      </c>
      <c r="B41" s="35">
        <v>31</v>
      </c>
    </row>
    <row r="42" spans="1:18" ht="15" customHeight="1" x14ac:dyDescent="0.3">
      <c r="A42" s="20" t="s">
        <v>66</v>
      </c>
      <c r="B42" s="36">
        <v>14882</v>
      </c>
    </row>
    <row r="43" spans="1:18" ht="15" customHeight="1" x14ac:dyDescent="0.3">
      <c r="A43" s="20" t="s">
        <v>67</v>
      </c>
      <c r="B43" s="37">
        <v>7</v>
      </c>
    </row>
    <row r="44" spans="1:18" ht="15" customHeight="1" x14ac:dyDescent="0.3">
      <c r="A44" s="20" t="s">
        <v>68</v>
      </c>
      <c r="B44" s="38">
        <v>480.1</v>
      </c>
    </row>
    <row r="47" spans="1:18" ht="15" customHeight="1" x14ac:dyDescent="0.3">
      <c r="A47" s="1" t="s">
        <v>69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</sheetData>
  <mergeCells count="16">
    <mergeCell ref="A40:E40"/>
    <mergeCell ref="A47:R47"/>
    <mergeCell ref="A1:R1"/>
    <mergeCell ref="A2:R2"/>
    <mergeCell ref="A3:D3"/>
    <mergeCell ref="E3:R3"/>
    <mergeCell ref="A5:A6"/>
    <mergeCell ref="B5:D5"/>
    <mergeCell ref="E5:G5"/>
    <mergeCell ref="H5:J5"/>
    <mergeCell ref="K5:K6"/>
    <mergeCell ref="L5:L6"/>
    <mergeCell ref="M5:M6"/>
    <mergeCell ref="N5:O5"/>
    <mergeCell ref="P5:Q5"/>
    <mergeCell ref="R5:R6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Apr 24 – May 24</vt:lpstr>
      <vt:lpstr>May 25–Jun25</vt:lpstr>
      <vt:lpstr>Mar 23 - April 23</vt:lpstr>
      <vt:lpstr>Jun 26 – Jul26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Hanns Donor</cp:lastModifiedBy>
  <cp:revision>3</cp:revision>
  <dcterms:created xsi:type="dcterms:W3CDTF">2026-06-26T02:35:12Z</dcterms:created>
  <dcterms:modified xsi:type="dcterms:W3CDTF">2026-07-03T03:25:49Z</dcterms:modified>
  <dc:language>en-US</dc:language>
</cp:coreProperties>
</file>